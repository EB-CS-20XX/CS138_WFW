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\Documents\"/>
    </mc:Choice>
  </mc:AlternateContent>
  <xr:revisionPtr revIDLastSave="0" documentId="8_{F234E961-CCFF-451B-95F6-98E4431CB5AE}" xr6:coauthVersionLast="47" xr6:coauthVersionMax="47" xr10:uidLastSave="{00000000-0000-0000-0000-000000000000}"/>
  <bookViews>
    <workbookView xWindow="-120" yWindow="-120" windowWidth="29040" windowHeight="15840" xr2:uid="{C1B74D14-9A1A-41A9-A1BE-05D3AE47AABF}"/>
  </bookViews>
  <sheets>
    <sheet name="QR Iteration" sheetId="1" r:id="rId1"/>
    <sheet name="Use The Inverse Matri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7" i="1" l="1" a="1"/>
  <c r="N159" i="1"/>
  <c r="M159" i="1"/>
  <c r="T158" i="1"/>
  <c r="M158" i="1"/>
  <c r="E131" i="1" a="1"/>
  <c r="W159" i="1"/>
  <c r="V159" i="1"/>
  <c r="U159" i="1"/>
  <c r="O159" i="1"/>
  <c r="N159" i="1"/>
  <c r="M159" i="1"/>
  <c r="K159" i="1"/>
  <c r="W158" i="1"/>
  <c r="V158" i="1"/>
  <c r="U158" i="1"/>
  <c r="T158" i="1"/>
  <c r="O158" i="1"/>
  <c r="N158" i="1"/>
  <c r="M158" i="1"/>
  <c r="K158" i="1"/>
  <c r="J158" i="1"/>
  <c r="W157" i="1"/>
  <c r="V157" i="1"/>
  <c r="U157" i="1"/>
  <c r="O157" i="1"/>
  <c r="N157" i="1"/>
  <c r="M157" i="1"/>
  <c r="K157" i="1"/>
  <c r="J157" i="1"/>
  <c r="I157" i="1"/>
  <c r="H13" i="3"/>
  <c r="H15" i="3" s="1"/>
  <c r="H35" i="3"/>
  <c r="H19" i="3"/>
  <c r="H45" i="3"/>
  <c r="H29" i="3"/>
  <c r="H27" i="3"/>
  <c r="C21" i="3"/>
  <c r="C20" i="3"/>
  <c r="C19" i="3"/>
  <c r="B19" i="3"/>
  <c r="C35" i="3"/>
  <c r="B38" i="3"/>
  <c r="B37" i="3"/>
  <c r="B36" i="3"/>
  <c r="B35" i="3"/>
  <c r="A32" i="3"/>
  <c r="B31" i="3"/>
  <c r="A31" i="3"/>
  <c r="B22" i="3"/>
  <c r="B21" i="3"/>
  <c r="B20" i="3"/>
  <c r="C15" i="3"/>
  <c r="B15" i="3"/>
  <c r="A15" i="3"/>
  <c r="F13" i="3"/>
  <c r="G13" i="3"/>
  <c r="F12" i="3"/>
  <c r="F11" i="3"/>
  <c r="F10" i="3"/>
  <c r="G12" i="3"/>
  <c r="G11" i="3"/>
  <c r="G10" i="3"/>
  <c r="H7" i="3"/>
  <c r="H6" i="3"/>
  <c r="H5" i="3"/>
  <c r="G7" i="3"/>
  <c r="G6" i="3"/>
  <c r="G5" i="3"/>
  <c r="F7" i="3"/>
  <c r="F6" i="3"/>
  <c r="F5" i="3"/>
  <c r="E7" i="3"/>
  <c r="E6" i="3"/>
  <c r="E5" i="3"/>
  <c r="D7" i="3"/>
  <c r="D6" i="3"/>
  <c r="D5" i="3"/>
  <c r="C7" i="3"/>
  <c r="C6" i="3"/>
  <c r="C5" i="3"/>
  <c r="B7" i="3"/>
  <c r="B6" i="3"/>
  <c r="B5" i="3"/>
  <c r="B8" i="3"/>
  <c r="A3" i="3"/>
  <c r="B3" i="3"/>
  <c r="C3" i="3"/>
  <c r="A2" i="3"/>
  <c r="B2" i="3"/>
  <c r="C2" i="3"/>
  <c r="C1" i="3"/>
  <c r="B1" i="3"/>
  <c r="A1" i="3"/>
  <c r="A131" i="1" a="1"/>
  <c r="N133" i="1"/>
  <c r="M133" i="1"/>
  <c r="T132" i="1"/>
  <c r="M132" i="1"/>
  <c r="W133" i="1"/>
  <c r="V133" i="1"/>
  <c r="U133" i="1"/>
  <c r="O133" i="1"/>
  <c r="N133" i="1"/>
  <c r="M133" i="1"/>
  <c r="W132" i="1"/>
  <c r="V132" i="1"/>
  <c r="U132" i="1"/>
  <c r="T132" i="1"/>
  <c r="O132" i="1"/>
  <c r="N132" i="1"/>
  <c r="M132" i="1"/>
  <c r="W131" i="1"/>
  <c r="V131" i="1"/>
  <c r="U131" i="1"/>
  <c r="O131" i="1"/>
  <c r="N131" i="1"/>
  <c r="M131" i="1"/>
  <c r="A105" i="1" a="1"/>
  <c r="N107" i="1"/>
  <c r="M107" i="1"/>
  <c r="T106" i="1"/>
  <c r="M106" i="1"/>
  <c r="W107" i="1"/>
  <c r="V107" i="1"/>
  <c r="U107" i="1"/>
  <c r="O107" i="1"/>
  <c r="N107" i="1"/>
  <c r="M107" i="1"/>
  <c r="W106" i="1"/>
  <c r="V106" i="1"/>
  <c r="U106" i="1"/>
  <c r="T106" i="1"/>
  <c r="O106" i="1"/>
  <c r="N106" i="1"/>
  <c r="M106" i="1"/>
  <c r="D106" i="1"/>
  <c r="W105" i="1"/>
  <c r="V105" i="1"/>
  <c r="U105" i="1"/>
  <c r="O105" i="1"/>
  <c r="N105" i="1"/>
  <c r="M105" i="1"/>
  <c r="W107" i="1"/>
  <c r="V107" i="1"/>
  <c r="U107" i="1"/>
  <c r="O107" i="1"/>
  <c r="N107" i="1"/>
  <c r="M107" i="1"/>
  <c r="W106" i="1"/>
  <c r="V106" i="1"/>
  <c r="U106" i="1"/>
  <c r="T106" i="1"/>
  <c r="O106" i="1"/>
  <c r="N106" i="1"/>
  <c r="M106" i="1"/>
  <c r="D106" i="1"/>
  <c r="W105" i="1"/>
  <c r="V105" i="1"/>
  <c r="U105" i="1"/>
  <c r="O105" i="1"/>
  <c r="N105" i="1"/>
  <c r="M105" i="1"/>
  <c r="W107" i="1"/>
  <c r="V107" i="1"/>
  <c r="U107" i="1"/>
  <c r="O107" i="1"/>
  <c r="N107" i="1"/>
  <c r="M107" i="1"/>
  <c r="W106" i="1"/>
  <c r="V106" i="1"/>
  <c r="U106" i="1"/>
  <c r="T106" i="1"/>
  <c r="O106" i="1"/>
  <c r="N106" i="1"/>
  <c r="M106" i="1"/>
  <c r="D106" i="1"/>
  <c r="W105" i="1"/>
  <c r="V105" i="1"/>
  <c r="U105" i="1"/>
  <c r="O105" i="1"/>
  <c r="N105" i="1"/>
  <c r="M105" i="1"/>
  <c r="W133" i="1"/>
  <c r="V133" i="1"/>
  <c r="U133" i="1"/>
  <c r="O133" i="1"/>
  <c r="N133" i="1"/>
  <c r="M133" i="1"/>
  <c r="W132" i="1"/>
  <c r="V132" i="1"/>
  <c r="U132" i="1"/>
  <c r="T132" i="1"/>
  <c r="O132" i="1"/>
  <c r="N132" i="1"/>
  <c r="M132" i="1"/>
  <c r="D132" i="1"/>
  <c r="W131" i="1"/>
  <c r="V131" i="1"/>
  <c r="U131" i="1"/>
  <c r="O131" i="1"/>
  <c r="N131" i="1"/>
  <c r="M131" i="1"/>
  <c r="W107" i="1"/>
  <c r="V107" i="1"/>
  <c r="U107" i="1"/>
  <c r="O107" i="1"/>
  <c r="N107" i="1"/>
  <c r="M107" i="1"/>
  <c r="W106" i="1"/>
  <c r="V106" i="1"/>
  <c r="U106" i="1"/>
  <c r="T106" i="1"/>
  <c r="O106" i="1"/>
  <c r="N106" i="1"/>
  <c r="M106" i="1"/>
  <c r="D106" i="1"/>
  <c r="W105" i="1"/>
  <c r="V105" i="1"/>
  <c r="U105" i="1"/>
  <c r="O105" i="1"/>
  <c r="N105" i="1"/>
  <c r="M105" i="1"/>
  <c r="A79" i="1" a="1"/>
  <c r="A53" i="1" a="1"/>
  <c r="N81" i="1"/>
  <c r="M81" i="1"/>
  <c r="T80" i="1"/>
  <c r="M80" i="1"/>
  <c r="D80" i="1"/>
  <c r="N55" i="1"/>
  <c r="M55" i="1"/>
  <c r="T54" i="1"/>
  <c r="M54" i="1"/>
  <c r="D54" i="1"/>
  <c r="C29" i="1"/>
  <c r="B29" i="1"/>
  <c r="C28" i="1"/>
  <c r="B28" i="1"/>
  <c r="C27" i="1"/>
  <c r="B27" i="1"/>
  <c r="A29" i="1"/>
  <c r="A28" i="1"/>
  <c r="A27" i="1"/>
  <c r="A34" i="1" a="1"/>
  <c r="N29" i="1"/>
  <c r="M29" i="1"/>
  <c r="T28" i="1"/>
  <c r="M28" i="1"/>
  <c r="D28" i="1"/>
  <c r="T2" i="1"/>
  <c r="U3" i="1"/>
  <c r="V2" i="1"/>
  <c r="U2" i="1"/>
  <c r="V1" i="1"/>
  <c r="W1" i="1"/>
  <c r="U1" i="1"/>
  <c r="Q3" i="1"/>
  <c r="Q2" i="1"/>
  <c r="S3" i="1"/>
  <c r="R3" i="1"/>
  <c r="S2" i="1"/>
  <c r="R2" i="1"/>
  <c r="S1" i="1"/>
  <c r="R1" i="1"/>
  <c r="Q1" i="1"/>
  <c r="O3" i="1"/>
  <c r="O2" i="1"/>
  <c r="O1" i="1"/>
  <c r="N3" i="1"/>
  <c r="V3" i="1" s="1"/>
  <c r="N2" i="1"/>
  <c r="N1" i="1"/>
  <c r="M3" i="1"/>
  <c r="W3" i="1" s="1"/>
  <c r="M2" i="1"/>
  <c r="W2" i="1" s="1"/>
  <c r="M1" i="1"/>
  <c r="K2" i="1"/>
  <c r="K1" i="1"/>
  <c r="J1" i="1"/>
  <c r="K3" i="1"/>
  <c r="J2" i="1"/>
  <c r="I1" i="1"/>
  <c r="G1" i="1" a="1"/>
  <c r="F1" i="1" a="1"/>
  <c r="E1" i="1" a="1"/>
  <c r="D2" i="1"/>
  <c r="C23" i="1" a="1"/>
  <c r="E23" i="1" s="1" a="1"/>
  <c r="A23" i="1" a="1"/>
  <c r="B20" i="1" a="1"/>
  <c r="B19" i="1" a="1"/>
  <c r="B12" i="1" a="1"/>
  <c r="A15" i="1" s="1" a="1"/>
  <c r="E8" i="1" a="1"/>
  <c r="A8" i="1" a="1"/>
  <c r="C8" i="1" s="1" a="1"/>
  <c r="A164" i="1" l="1" a="1"/>
  <c r="S157" i="1"/>
  <c r="S159" i="1"/>
  <c r="S158" i="1"/>
  <c r="R159" i="1"/>
  <c r="R158" i="1"/>
  <c r="R157" i="1"/>
  <c r="Q159" i="1"/>
  <c r="Q158" i="1"/>
  <c r="Q157" i="1"/>
  <c r="C37" i="3"/>
  <c r="C36" i="3"/>
  <c r="D21" i="3"/>
  <c r="D19" i="3"/>
  <c r="D20" i="3"/>
  <c r="A138" i="1" a="1"/>
  <c r="A112" i="1" a="1"/>
  <c r="A60" i="1" a="1"/>
  <c r="C60" i="1" s="1" a="1"/>
  <c r="C34" i="1" a="1"/>
  <c r="C15" i="1" a="1"/>
  <c r="E15" i="1" a="1"/>
  <c r="C164" i="1" l="1" a="1"/>
  <c r="D35" i="3"/>
  <c r="D36" i="3"/>
  <c r="D37" i="3"/>
  <c r="E21" i="3"/>
  <c r="E19" i="3"/>
  <c r="E20" i="3"/>
  <c r="C138" i="1" a="1"/>
  <c r="I131" i="1" s="1"/>
  <c r="M131" i="1" s="1"/>
  <c r="C112" i="1" a="1"/>
  <c r="I105" i="1" s="1"/>
  <c r="M105" i="1" s="1"/>
  <c r="I53" i="1"/>
  <c r="M53" i="1" s="1"/>
  <c r="E60" i="1" a="1"/>
  <c r="I27" i="1"/>
  <c r="M27" i="1" s="1"/>
  <c r="E34" i="1" a="1"/>
  <c r="I157" i="1" l="1"/>
  <c r="M157" i="1" s="1"/>
  <c r="E164" i="1" a="1"/>
  <c r="E35" i="3"/>
  <c r="E36" i="3"/>
  <c r="E37" i="3"/>
  <c r="F20" i="3"/>
  <c r="F25" i="3" s="1"/>
  <c r="F21" i="3"/>
  <c r="F26" i="3" s="1"/>
  <c r="F19" i="3"/>
  <c r="I131" i="1"/>
  <c r="E138" i="1" a="1"/>
  <c r="I105" i="1"/>
  <c r="E112" i="1" a="1"/>
  <c r="I105" i="1"/>
  <c r="I105" i="1"/>
  <c r="I131" i="1"/>
  <c r="I105" i="1"/>
  <c r="E53" i="1" a="1"/>
  <c r="B64" i="1" a="1"/>
  <c r="B71" i="1" a="1"/>
  <c r="B38" i="1" a="1"/>
  <c r="E27" i="1" a="1"/>
  <c r="B45" i="1" a="1"/>
  <c r="K27" i="1" s="1"/>
  <c r="O27" i="1" s="1"/>
  <c r="E157" i="1" l="1" a="1"/>
  <c r="B168" i="1" a="1"/>
  <c r="B175" i="1" a="1"/>
  <c r="F35" i="3"/>
  <c r="F36" i="3"/>
  <c r="F41" i="3" s="1"/>
  <c r="F37" i="3"/>
  <c r="F42" i="3" s="1"/>
  <c r="F24" i="3"/>
  <c r="F27" i="3" s="1"/>
  <c r="G19" i="3"/>
  <c r="G21" i="3"/>
  <c r="G26" i="3" s="1"/>
  <c r="G20" i="3"/>
  <c r="G25" i="3" s="1"/>
  <c r="B142" i="1" a="1"/>
  <c r="J131" i="1" s="1"/>
  <c r="N131" i="1" s="1"/>
  <c r="B149" i="1" a="1"/>
  <c r="K131" i="1" s="1"/>
  <c r="O131" i="1" s="1"/>
  <c r="B116" i="1" a="1"/>
  <c r="J105" i="1" s="1"/>
  <c r="N105" i="1" s="1"/>
  <c r="E105" i="1" a="1"/>
  <c r="B123" i="1" a="1"/>
  <c r="K105" i="1" s="1"/>
  <c r="O105" i="1" s="1"/>
  <c r="Q54" i="1"/>
  <c r="Q53" i="1"/>
  <c r="Q55" i="1"/>
  <c r="J53" i="1"/>
  <c r="N53" i="1" s="1"/>
  <c r="A67" i="1" a="1"/>
  <c r="K53" i="1"/>
  <c r="O53" i="1" s="1"/>
  <c r="J27" i="1"/>
  <c r="N27" i="1" s="1"/>
  <c r="A41" i="1" a="1"/>
  <c r="C41" i="1" s="1" a="1"/>
  <c r="Q28" i="1"/>
  <c r="Q29" i="1"/>
  <c r="Q27" i="1"/>
  <c r="Q157" i="1" l="1"/>
  <c r="Q159" i="1"/>
  <c r="Q158" i="1"/>
  <c r="A171" i="1" a="1"/>
  <c r="J157" i="1"/>
  <c r="N157" i="1" s="1"/>
  <c r="K157" i="1"/>
  <c r="O157" i="1" s="1"/>
  <c r="G35" i="3"/>
  <c r="G36" i="3"/>
  <c r="G41" i="3" s="1"/>
  <c r="G37" i="3"/>
  <c r="G42" i="3" s="1"/>
  <c r="F40" i="3"/>
  <c r="F43" i="3" s="1"/>
  <c r="H20" i="3"/>
  <c r="H21" i="3"/>
  <c r="G24" i="3"/>
  <c r="G27" i="3" s="1"/>
  <c r="Q133" i="1"/>
  <c r="Q132" i="1"/>
  <c r="Q131" i="1"/>
  <c r="Q131" i="1"/>
  <c r="Q132" i="1"/>
  <c r="Q133" i="1"/>
  <c r="A145" i="1" a="1"/>
  <c r="J131" i="1"/>
  <c r="K131" i="1"/>
  <c r="Q107" i="1"/>
  <c r="Q106" i="1"/>
  <c r="Q105" i="1"/>
  <c r="A119" i="1" a="1"/>
  <c r="J105" i="1"/>
  <c r="Q106" i="1"/>
  <c r="Q105" i="1"/>
  <c r="Q107" i="1"/>
  <c r="K105" i="1"/>
  <c r="J105" i="1"/>
  <c r="Q106" i="1"/>
  <c r="Q107" i="1"/>
  <c r="Q105" i="1"/>
  <c r="K105" i="1"/>
  <c r="Q105" i="1"/>
  <c r="Q106" i="1"/>
  <c r="Q107" i="1"/>
  <c r="J105" i="1"/>
  <c r="K105" i="1"/>
  <c r="J131" i="1"/>
  <c r="Q131" i="1"/>
  <c r="Q132" i="1"/>
  <c r="Q133" i="1"/>
  <c r="K131" i="1"/>
  <c r="J105" i="1"/>
  <c r="Q107" i="1"/>
  <c r="Q106" i="1"/>
  <c r="Q105" i="1"/>
  <c r="K105" i="1"/>
  <c r="U53" i="1"/>
  <c r="C67" i="1" a="1"/>
  <c r="U27" i="1"/>
  <c r="E41" i="1" a="1"/>
  <c r="J28" i="1"/>
  <c r="N28" i="1" s="1"/>
  <c r="U157" i="1" l="1"/>
  <c r="C171" i="1" a="1"/>
  <c r="H36" i="3"/>
  <c r="G40" i="3"/>
  <c r="G43" i="3" s="1"/>
  <c r="H43" i="3" s="1"/>
  <c r="H37" i="3"/>
  <c r="U131" i="1"/>
  <c r="C145" i="1" a="1"/>
  <c r="J132" i="1" s="1"/>
  <c r="N132" i="1" s="1"/>
  <c r="U105" i="1"/>
  <c r="C119" i="1" a="1"/>
  <c r="J106" i="1" s="1"/>
  <c r="N106" i="1" s="1"/>
  <c r="J54" i="1"/>
  <c r="N54" i="1" s="1"/>
  <c r="E67" i="1" a="1"/>
  <c r="F27" i="1" a="1"/>
  <c r="B46" i="1" a="1"/>
  <c r="J158" i="1" l="1"/>
  <c r="N158" i="1" s="1"/>
  <c r="E171" i="1" a="1"/>
  <c r="J132" i="1"/>
  <c r="E145" i="1" a="1"/>
  <c r="J106" i="1"/>
  <c r="E119" i="1" a="1"/>
  <c r="J106" i="1"/>
  <c r="J106" i="1"/>
  <c r="J132" i="1"/>
  <c r="J106" i="1"/>
  <c r="F53" i="1" a="1"/>
  <c r="B72" i="1" a="1"/>
  <c r="K28" i="1"/>
  <c r="O28" i="1" s="1"/>
  <c r="U28" i="1" s="1"/>
  <c r="A49" i="1" a="1"/>
  <c r="C49" i="1" s="1" a="1"/>
  <c r="R27" i="1"/>
  <c r="R28" i="1"/>
  <c r="R29" i="1"/>
  <c r="F157" i="1" l="1" a="1"/>
  <c r="B176" i="1" a="1"/>
  <c r="F131" i="1" a="1"/>
  <c r="B150" i="1" a="1"/>
  <c r="K132" i="1" s="1"/>
  <c r="O132" i="1" s="1"/>
  <c r="U132" i="1" s="1"/>
  <c r="F105" i="1" a="1"/>
  <c r="B124" i="1" a="1"/>
  <c r="K106" i="1" s="1"/>
  <c r="O106" i="1" s="1"/>
  <c r="U106" i="1" s="1"/>
  <c r="R53" i="1"/>
  <c r="R54" i="1"/>
  <c r="R55" i="1"/>
  <c r="A75" i="1" a="1"/>
  <c r="K54" i="1"/>
  <c r="O54" i="1" s="1"/>
  <c r="U54" i="1" s="1"/>
  <c r="V28" i="1"/>
  <c r="V27" i="1"/>
  <c r="K29" i="1"/>
  <c r="O29" i="1" s="1"/>
  <c r="E49" i="1" a="1"/>
  <c r="G27" i="1" s="1" a="1"/>
  <c r="R157" i="1" l="1"/>
  <c r="R158" i="1"/>
  <c r="R159" i="1"/>
  <c r="A179" i="1" a="1"/>
  <c r="K158" i="1"/>
  <c r="O158" i="1" s="1"/>
  <c r="U158" i="1" s="1"/>
  <c r="R132" i="1"/>
  <c r="R133" i="1"/>
  <c r="R131" i="1"/>
  <c r="R131" i="1"/>
  <c r="R133" i="1"/>
  <c r="R132" i="1"/>
  <c r="A153" i="1" a="1"/>
  <c r="K132" i="1"/>
  <c r="R107" i="1"/>
  <c r="R106" i="1"/>
  <c r="R105" i="1"/>
  <c r="R105" i="1"/>
  <c r="R106" i="1"/>
  <c r="R107" i="1"/>
  <c r="A127" i="1" a="1"/>
  <c r="K106" i="1"/>
  <c r="R106" i="1"/>
  <c r="R107" i="1"/>
  <c r="R105" i="1"/>
  <c r="K106" i="1"/>
  <c r="R107" i="1"/>
  <c r="R105" i="1"/>
  <c r="R106" i="1"/>
  <c r="K106" i="1"/>
  <c r="R133" i="1"/>
  <c r="R131" i="1"/>
  <c r="R132" i="1"/>
  <c r="K132" i="1"/>
  <c r="R106" i="1"/>
  <c r="R107" i="1"/>
  <c r="R105" i="1"/>
  <c r="K106" i="1"/>
  <c r="V54" i="1"/>
  <c r="V53" i="1"/>
  <c r="C75" i="1" a="1"/>
  <c r="V29" i="1"/>
  <c r="U29" i="1"/>
  <c r="S29" i="1"/>
  <c r="S28" i="1"/>
  <c r="S27" i="1"/>
  <c r="V158" i="1" l="1"/>
  <c r="V157" i="1"/>
  <c r="C179" i="1" a="1"/>
  <c r="V131" i="1"/>
  <c r="V132" i="1"/>
  <c r="C153" i="1" a="1"/>
  <c r="K133" i="1" s="1"/>
  <c r="O133" i="1" s="1"/>
  <c r="V105" i="1"/>
  <c r="V106" i="1"/>
  <c r="C127" i="1" a="1"/>
  <c r="K107" i="1" s="1"/>
  <c r="O107" i="1" s="1"/>
  <c r="K107" i="1"/>
  <c r="K55" i="1"/>
  <c r="O55" i="1" s="1"/>
  <c r="E75" i="1" a="1"/>
  <c r="G53" i="1" s="1" a="1"/>
  <c r="W27" i="1"/>
  <c r="W28" i="1"/>
  <c r="W29" i="1"/>
  <c r="K159" i="1" l="1"/>
  <c r="O159" i="1" s="1"/>
  <c r="E179" i="1" a="1"/>
  <c r="G157" i="1" s="1" a="1"/>
  <c r="V133" i="1"/>
  <c r="U133" i="1"/>
  <c r="K133" i="1"/>
  <c r="E153" i="1" a="1"/>
  <c r="G131" i="1" s="1" a="1"/>
  <c r="V107" i="1"/>
  <c r="U107" i="1"/>
  <c r="K107" i="1"/>
  <c r="E127" i="1" a="1"/>
  <c r="G105" i="1" s="1" a="1"/>
  <c r="K107" i="1"/>
  <c r="S107" i="1"/>
  <c r="S106" i="1"/>
  <c r="S105" i="1"/>
  <c r="K133" i="1"/>
  <c r="K107" i="1"/>
  <c r="V55" i="1"/>
  <c r="U55" i="1"/>
  <c r="A86" i="1" s="1" a="1"/>
  <c r="S54" i="1"/>
  <c r="S55" i="1"/>
  <c r="S53" i="1"/>
  <c r="S159" i="1" l="1"/>
  <c r="S158" i="1"/>
  <c r="S157" i="1"/>
  <c r="V159" i="1"/>
  <c r="U159" i="1"/>
  <c r="W157" i="1"/>
  <c r="W159" i="1"/>
  <c r="W158" i="1"/>
  <c r="S133" i="1"/>
  <c r="S132" i="1"/>
  <c r="S131" i="1"/>
  <c r="S131" i="1"/>
  <c r="S132" i="1"/>
  <c r="S133" i="1"/>
  <c r="S107" i="1"/>
  <c r="S106" i="1"/>
  <c r="S105" i="1"/>
  <c r="S105" i="1"/>
  <c r="S107" i="1"/>
  <c r="S106" i="1"/>
  <c r="S106" i="1"/>
  <c r="S107" i="1"/>
  <c r="S105" i="1"/>
  <c r="S132" i="1"/>
  <c r="S133" i="1"/>
  <c r="S131" i="1"/>
  <c r="S107" i="1"/>
  <c r="S106" i="1"/>
  <c r="S105" i="1"/>
  <c r="C86" i="1" a="1"/>
  <c r="W53" i="1"/>
  <c r="W55" i="1"/>
  <c r="W54" i="1"/>
  <c r="W133" i="1" l="1"/>
  <c r="W131" i="1"/>
  <c r="W132" i="1"/>
  <c r="W107" i="1"/>
  <c r="W105" i="1"/>
  <c r="W106" i="1"/>
  <c r="I79" i="1"/>
  <c r="M79" i="1" s="1"/>
  <c r="E86" i="1" a="1"/>
  <c r="B97" i="1" s="1" a="1"/>
  <c r="E79" i="1" l="1" a="1"/>
  <c r="B90" i="1" a="1"/>
  <c r="K79" i="1"/>
  <c r="O79" i="1" s="1"/>
  <c r="Q81" i="1" l="1"/>
  <c r="Q79" i="1"/>
  <c r="Q80" i="1"/>
  <c r="A93" i="1" a="1"/>
  <c r="J79" i="1"/>
  <c r="N79" i="1" s="1"/>
  <c r="U79" i="1" l="1"/>
  <c r="C93" i="1" a="1"/>
  <c r="J80" i="1" l="1"/>
  <c r="N80" i="1" s="1"/>
  <c r="E93" i="1" a="1"/>
  <c r="F79" i="1" l="1" a="1"/>
  <c r="B98" i="1" a="1"/>
  <c r="R81" i="1" l="1"/>
  <c r="R80" i="1"/>
  <c r="R79" i="1"/>
  <c r="A101" i="1" a="1"/>
  <c r="K80" i="1"/>
  <c r="O80" i="1" s="1"/>
  <c r="U80" i="1" s="1"/>
  <c r="V79" i="1" l="1"/>
  <c r="V80" i="1"/>
  <c r="C101" i="1" a="1"/>
  <c r="K81" i="1" l="1"/>
  <c r="O81" i="1" s="1"/>
  <c r="E101" i="1" a="1"/>
  <c r="G79" i="1" s="1" a="1"/>
  <c r="V81" i="1" l="1"/>
  <c r="U81" i="1"/>
  <c r="S79" i="1"/>
  <c r="S81" i="1"/>
  <c r="S80" i="1"/>
  <c r="W79" i="1" l="1"/>
  <c r="W81" i="1"/>
  <c r="W8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<sst xmlns="http://schemas.openxmlformats.org/spreadsheetml/2006/main" count="197" uniqueCount="18">
  <si>
    <t>v1</t>
  </si>
  <si>
    <t>r11</t>
  </si>
  <si>
    <t>q1</t>
  </si>
  <si>
    <t>r12</t>
  </si>
  <si>
    <t>v2</t>
  </si>
  <si>
    <t>r22</t>
  </si>
  <si>
    <t>q2</t>
  </si>
  <si>
    <t>r23</t>
  </si>
  <si>
    <t>r13</t>
  </si>
  <si>
    <t>v3</t>
  </si>
  <si>
    <t>r33</t>
  </si>
  <si>
    <t>q3</t>
  </si>
  <si>
    <t>→</t>
  </si>
  <si>
    <t>*</t>
  </si>
  <si>
    <t>Q</t>
  </si>
  <si>
    <t>R</t>
  </si>
  <si>
    <t>A</t>
  </si>
  <si>
    <t>Anext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</si>
</sst>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8" fontId="0" fillId="0" borderId="3" xfId="0" applyNumberFormat="1" applyBorder="1"/>
    <xf numFmtId="168" fontId="0" fillId="0" borderId="4" xfId="0" applyNumberFormat="1" applyBorder="1"/>
    <xf numFmtId="168" fontId="0" fillId="0" borderId="5" xfId="0" applyNumberFormat="1" applyBorder="1"/>
    <xf numFmtId="168" fontId="0" fillId="0" borderId="6" xfId="0" applyNumberFormat="1" applyBorder="1"/>
    <xf numFmtId="168" fontId="0" fillId="0" borderId="7" xfId="0" applyNumberFormat="1" applyBorder="1"/>
    <xf numFmtId="168" fontId="0" fillId="0" borderId="8" xfId="0" applyNumberFormat="1" applyBorder="1"/>
    <xf numFmtId="168" fontId="0" fillId="0" borderId="0" xfId="0" applyNumberFormat="1" applyBorder="1"/>
    <xf numFmtId="168" fontId="0" fillId="0" borderId="2" xfId="0" applyNumberFormat="1" applyBorder="1"/>
    <xf numFmtId="168" fontId="0" fillId="0" borderId="1" xfId="0" applyNumberFormat="1" applyBorder="1"/>
    <xf numFmtId="168" fontId="0" fillId="0" borderId="9" xfId="0" applyNumberFormat="1" applyBorder="1"/>
    <xf numFmtId="168" fontId="0" fillId="0" borderId="10" xfId="0" applyNumberFormat="1" applyBorder="1"/>
    <xf numFmtId="168" fontId="0" fillId="0" borderId="11" xfId="0" applyNumberFormat="1" applyBorder="1"/>
    <xf numFmtId="168" fontId="0" fillId="0" borderId="12" xfId="0" applyNumberFormat="1" applyBorder="1"/>
    <xf numFmtId="168" fontId="0" fillId="0" borderId="0" xfId="0" applyNumberForma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4F76-6C70-4781-8E45-94D9E2A4BE60}">
  <dimension ref="A1:W181"/>
  <sheetViews>
    <sheetView tabSelected="1" topLeftCell="A16" zoomScale="85" zoomScaleNormal="85" workbookViewId="0">
      <selection activeCell="E23" sqref="E23:E25"/>
    </sheetView>
  </sheetViews>
  <sheetFormatPr defaultRowHeight="15" x14ac:dyDescent="0.25"/>
  <cols>
    <col min="1" max="3" width="13.42578125" style="14" bestFit="1" customWidth="1"/>
    <col min="4" max="4" width="9.140625" style="14"/>
    <col min="5" max="5" width="13.42578125" style="14" bestFit="1" customWidth="1"/>
    <col min="6" max="6" width="13.140625" style="14" bestFit="1" customWidth="1"/>
    <col min="7" max="7" width="13.42578125" style="14" bestFit="1" customWidth="1"/>
    <col min="8" max="8" width="9.140625" style="14"/>
    <col min="9" max="9" width="12.5703125" style="14" bestFit="1" customWidth="1"/>
    <col min="10" max="11" width="13.42578125" style="14" bestFit="1" customWidth="1"/>
    <col min="12" max="12" width="9.140625" style="14"/>
    <col min="13" max="13" width="12.5703125" style="14" bestFit="1" customWidth="1"/>
    <col min="14" max="15" width="13.42578125" style="14" bestFit="1" customWidth="1"/>
    <col min="16" max="16" width="9.140625" style="14"/>
    <col min="17" max="18" width="13.140625" style="14" bestFit="1" customWidth="1"/>
    <col min="19" max="19" width="13.42578125" style="14" bestFit="1" customWidth="1"/>
    <col min="20" max="20" width="9.140625" style="14"/>
    <col min="21" max="23" width="13.42578125" style="14" bestFit="1" customWidth="1"/>
    <col min="24" max="16384" width="9.140625" style="14"/>
  </cols>
  <sheetData>
    <row r="1" spans="1:23" x14ac:dyDescent="0.25">
      <c r="A1" s="1">
        <v>1</v>
      </c>
      <c r="B1" s="2">
        <v>6</v>
      </c>
      <c r="C1" s="3">
        <v>7</v>
      </c>
      <c r="D1" s="2"/>
      <c r="E1" s="4" cm="1">
        <f t="array" ref="E1:E3">_xlfn.ANCHORARRAY(E8)</f>
        <v>0.10783277320343841</v>
      </c>
      <c r="F1" s="2" cm="1">
        <f t="array" ref="F1:F3">_xlfn.ANCHORARRAY(E15)</f>
        <v>8.9388660824028951E-2</v>
      </c>
      <c r="G1" s="3" cm="1">
        <f t="array" ref="G1:G3">_xlfn.ANCHORARRAY(E23)</f>
        <v>0.9901422929757836</v>
      </c>
      <c r="H1" s="2"/>
      <c r="I1" s="4">
        <f>C8</f>
        <v>9.2736184954957039</v>
      </c>
      <c r="J1" s="2">
        <f>B12</f>
        <v>32.349831961031526</v>
      </c>
      <c r="K1" s="3">
        <f>B19</f>
        <v>56.720038705008605</v>
      </c>
      <c r="L1" s="2"/>
      <c r="M1" s="4">
        <f>I1</f>
        <v>9.2736184954957039</v>
      </c>
      <c r="N1" s="2">
        <f>J1</f>
        <v>32.349831961031526</v>
      </c>
      <c r="O1" s="3">
        <f>K1</f>
        <v>56.720038705008605</v>
      </c>
      <c r="P1" s="2"/>
      <c r="Q1" s="4">
        <f>E1</f>
        <v>0.10783277320343841</v>
      </c>
      <c r="R1" s="2">
        <f>F1</f>
        <v>8.9388660824028951E-2</v>
      </c>
      <c r="S1" s="3">
        <f>G1</f>
        <v>0.9901422929757836</v>
      </c>
      <c r="T1" s="2"/>
      <c r="U1" s="4">
        <f>Q1*M1+Q2*N1+Q3*O1</f>
        <v>64.744186046511629</v>
      </c>
      <c r="V1" s="2">
        <f>R1*M1+R2*N1+R3*O1</f>
        <v>-12.093766113880523</v>
      </c>
      <c r="W1" s="5">
        <f>S1*M1+S2*N1+S3*O1</f>
        <v>3.4067011847380577</v>
      </c>
    </row>
    <row r="2" spans="1:23" x14ac:dyDescent="0.25">
      <c r="A2" s="6">
        <v>6</v>
      </c>
      <c r="B2" s="7">
        <v>42</v>
      </c>
      <c r="C2" s="8">
        <v>6</v>
      </c>
      <c r="D2" s="7" t="str">
        <f>"="</f>
        <v>=</v>
      </c>
      <c r="E2" s="9">
        <v>0.64699663922063044</v>
      </c>
      <c r="F2" s="7">
        <v>0.74987154357935404</v>
      </c>
      <c r="G2" s="8">
        <v>-0.13815938971755215</v>
      </c>
      <c r="H2" s="7" t="s">
        <v>13</v>
      </c>
      <c r="I2" s="9">
        <v>0</v>
      </c>
      <c r="J2" s="7">
        <f>C15</f>
        <v>28.097835719019773</v>
      </c>
      <c r="K2" s="8">
        <f>B20</f>
        <v>-40.105712489714321</v>
      </c>
      <c r="L2" s="7" t="s">
        <v>12</v>
      </c>
      <c r="M2" s="9">
        <f>I2</f>
        <v>0</v>
      </c>
      <c r="N2" s="7">
        <f>J2</f>
        <v>28.097835719019773</v>
      </c>
      <c r="O2" s="8">
        <f>K2</f>
        <v>-40.105712489714321</v>
      </c>
      <c r="P2" s="7" t="s">
        <v>13</v>
      </c>
      <c r="Q2" s="9">
        <f>E2</f>
        <v>0.64699663922063044</v>
      </c>
      <c r="R2" s="7">
        <f>F2</f>
        <v>0.74987154357935404</v>
      </c>
      <c r="S2" s="8">
        <f>G2</f>
        <v>-0.13815938971755215</v>
      </c>
      <c r="T2" s="7" t="str">
        <f>"="</f>
        <v>=</v>
      </c>
      <c r="U2" s="9">
        <f>M2*Q1+N2*Q2+O2*Q3</f>
        <v>-12.093766113880523</v>
      </c>
      <c r="V2" s="7">
        <f>M2*R1+N2*R2+O2*R3</f>
        <v>47.359737601420498</v>
      </c>
      <c r="W2" s="10">
        <f>S1*M2+S2*N2+S3*O2</f>
        <v>-2.9584830416961267</v>
      </c>
    </row>
    <row r="3" spans="1:23" x14ac:dyDescent="0.25">
      <c r="A3" s="6">
        <v>7</v>
      </c>
      <c r="B3" s="7">
        <v>6</v>
      </c>
      <c r="C3" s="8">
        <v>69</v>
      </c>
      <c r="D3" s="7"/>
      <c r="E3" s="9">
        <v>0.75482941242406887</v>
      </c>
      <c r="F3" s="7">
        <v>-0.65551684604287896</v>
      </c>
      <c r="G3" s="8">
        <v>-2.3026564952923524E-2</v>
      </c>
      <c r="H3" s="7"/>
      <c r="I3" s="9">
        <v>0</v>
      </c>
      <c r="J3" s="7">
        <v>0</v>
      </c>
      <c r="K3" s="8">
        <f>C23</f>
        <v>4.5132067307733399</v>
      </c>
      <c r="L3" s="7"/>
      <c r="M3" s="9">
        <f>I3</f>
        <v>0</v>
      </c>
      <c r="N3" s="7">
        <f>J3</f>
        <v>0</v>
      </c>
      <c r="O3" s="8">
        <f>K3</f>
        <v>4.5132067307733399</v>
      </c>
      <c r="P3" s="7"/>
      <c r="Q3" s="9">
        <f>E3</f>
        <v>0.75482941242406887</v>
      </c>
      <c r="R3" s="7">
        <f>F3</f>
        <v>-0.65551684604287896</v>
      </c>
      <c r="S3" s="8">
        <f>G3</f>
        <v>-2.3026564952923524E-2</v>
      </c>
      <c r="T3" s="7"/>
      <c r="U3" s="9">
        <f>Q1*M3+Q2*N3+Q3*O3</f>
        <v>3.4067011847379929</v>
      </c>
      <c r="V3" s="7">
        <f>R1*M3+R2*N3+R3*O3</f>
        <v>-2.9584830416960326</v>
      </c>
      <c r="W3" s="10">
        <f>S1*M3+S2*N3+S3*O3</f>
        <v>-0.10392364793212394</v>
      </c>
    </row>
    <row r="4" spans="1:23" x14ac:dyDescent="0.25">
      <c r="A4" s="6"/>
      <c r="B4" s="7" t="s">
        <v>16</v>
      </c>
      <c r="C4" s="7"/>
      <c r="D4" s="7"/>
      <c r="E4" s="7"/>
      <c r="F4" s="7" t="s">
        <v>14</v>
      </c>
      <c r="G4" s="7"/>
      <c r="H4" s="7"/>
      <c r="I4" s="7"/>
      <c r="J4" s="7" t="s">
        <v>15</v>
      </c>
      <c r="K4" s="7"/>
      <c r="L4" s="7"/>
      <c r="M4" s="7"/>
      <c r="N4" s="7" t="s">
        <v>15</v>
      </c>
      <c r="O4" s="7"/>
      <c r="P4" s="7"/>
      <c r="Q4" s="7"/>
      <c r="R4" s="7" t="s">
        <v>14</v>
      </c>
      <c r="S4" s="7"/>
      <c r="T4" s="7"/>
      <c r="U4" s="7"/>
      <c r="V4" s="7" t="s">
        <v>17</v>
      </c>
      <c r="W4" s="10"/>
    </row>
    <row r="5" spans="1:23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10"/>
    </row>
    <row r="6" spans="1:23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10"/>
    </row>
    <row r="7" spans="1:23" x14ac:dyDescent="0.25">
      <c r="A7" s="6" t="s">
        <v>0</v>
      </c>
      <c r="B7" s="7"/>
      <c r="C7" s="7" t="s">
        <v>1</v>
      </c>
      <c r="D7" s="7"/>
      <c r="E7" s="7" t="s">
        <v>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10"/>
    </row>
    <row r="8" spans="1:23" x14ac:dyDescent="0.25">
      <c r="A8" s="6" cm="1">
        <f t="array" ref="A8:A10">A1:A3</f>
        <v>1</v>
      </c>
      <c r="B8" s="7"/>
      <c r="C8" s="7" cm="1">
        <f t="array" ref="C8">SQRT(SUM(_xlfn.ANCHORARRAY(A8)*_xlfn.ANCHORARRAY(A8)))</f>
        <v>9.2736184954957039</v>
      </c>
      <c r="D8" s="7"/>
      <c r="E8" s="7" cm="1">
        <f t="array" ref="E8:E10">_xlfn.ANCHORARRAY(A8)/C8</f>
        <v>0.10783277320343841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0"/>
    </row>
    <row r="9" spans="1:23" x14ac:dyDescent="0.25">
      <c r="A9" s="6">
        <v>6</v>
      </c>
      <c r="B9" s="7"/>
      <c r="C9" s="7"/>
      <c r="D9" s="7"/>
      <c r="E9" s="7">
        <v>0.64699663922063044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10"/>
    </row>
    <row r="10" spans="1:23" x14ac:dyDescent="0.25">
      <c r="A10" s="6">
        <v>7</v>
      </c>
      <c r="B10" s="7"/>
      <c r="C10" s="7"/>
      <c r="D10" s="7"/>
      <c r="E10" s="7">
        <v>0.75482941242406887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10"/>
    </row>
    <row r="11" spans="1:23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10"/>
    </row>
    <row r="12" spans="1:23" x14ac:dyDescent="0.25">
      <c r="A12" s="6" t="s">
        <v>3</v>
      </c>
      <c r="B12" s="7" cm="1">
        <f t="array" ref="B12">SUM(_xlfn.ANCHORARRAY(E8)*B1:B3)</f>
        <v>32.349831961031526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10"/>
    </row>
    <row r="13" spans="1:23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10"/>
    </row>
    <row r="14" spans="1:23" x14ac:dyDescent="0.25">
      <c r="A14" s="6" t="s">
        <v>4</v>
      </c>
      <c r="B14" s="7"/>
      <c r="C14" s="7" t="s">
        <v>5</v>
      </c>
      <c r="D14" s="7"/>
      <c r="E14" s="7" t="s">
        <v>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10"/>
    </row>
    <row r="15" spans="1:23" x14ac:dyDescent="0.25">
      <c r="A15" s="6" cm="1">
        <f t="array" ref="A15:A17">B1:B3-B12*_xlfn.ANCHORARRAY(E8)</f>
        <v>2.5116279069767442</v>
      </c>
      <c r="B15" s="7"/>
      <c r="C15" s="7" cm="1">
        <f t="array" ref="C15">SQRT(SUM(_xlfn.ANCHORARRAY(A15)*_xlfn.ANCHORARRAY(A15)))</f>
        <v>28.097835719019773</v>
      </c>
      <c r="D15" s="7"/>
      <c r="E15" s="7" cm="1">
        <f t="array" ref="E15:E17">_xlfn.ANCHORARRAY(A15)/C15</f>
        <v>8.9388660824028951E-2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10"/>
    </row>
    <row r="16" spans="1:23" x14ac:dyDescent="0.25">
      <c r="A16" s="6">
        <v>21.069767441860467</v>
      </c>
      <c r="B16" s="7"/>
      <c r="C16" s="7"/>
      <c r="D16" s="7"/>
      <c r="E16" s="7">
        <v>0.74987154357935404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10"/>
    </row>
    <row r="17" spans="1:23" x14ac:dyDescent="0.25">
      <c r="A17" s="6">
        <v>-18.418604651162791</v>
      </c>
      <c r="B17" s="7"/>
      <c r="C17" s="7"/>
      <c r="D17" s="7"/>
      <c r="E17" s="7">
        <v>-0.65551684604287896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10"/>
    </row>
    <row r="18" spans="1:23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10"/>
    </row>
    <row r="19" spans="1:23" x14ac:dyDescent="0.25">
      <c r="A19" s="6" t="s">
        <v>8</v>
      </c>
      <c r="B19" s="7" cm="1">
        <f t="array" ref="B19">SUM(C1:C3*_xlfn.ANCHORARRAY(E8))</f>
        <v>56.720038705008605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10"/>
    </row>
    <row r="20" spans="1:23" x14ac:dyDescent="0.25">
      <c r="A20" s="6" t="s">
        <v>7</v>
      </c>
      <c r="B20" s="7" cm="1">
        <f t="array" ref="B20">SUM(C1:C3*_xlfn.ANCHORARRAY(E15))</f>
        <v>-40.105712489714321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10"/>
    </row>
    <row r="21" spans="1:23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10"/>
    </row>
    <row r="22" spans="1:23" x14ac:dyDescent="0.25">
      <c r="A22" s="6" t="s">
        <v>9</v>
      </c>
      <c r="B22" s="7"/>
      <c r="C22" s="7" t="s">
        <v>10</v>
      </c>
      <c r="D22" s="7"/>
      <c r="E22" s="7" t="s">
        <v>11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10"/>
    </row>
    <row r="23" spans="1:23" x14ac:dyDescent="0.25">
      <c r="A23" s="6" cm="1">
        <f t="array" ref="A23:A25">C1:C3-B19*_xlfn.ANCHORARRAY(E8)-B20*_xlfn.ANCHORARRAY(E15)</f>
        <v>4.4687168610816546</v>
      </c>
      <c r="B23" s="7"/>
      <c r="C23" s="7" cm="1">
        <f t="array" ref="C23">SQRT(SUM(_xlfn.ANCHORARRAY(A23)*_xlfn.ANCHORARRAY(A23)))</f>
        <v>4.5132067307733399</v>
      </c>
      <c r="D23" s="7"/>
      <c r="E23" s="7" cm="1">
        <f t="array" ref="E23:E25">_xlfn.ANCHORARRAY(A23)/C23</f>
        <v>0.9901422929757836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10"/>
    </row>
    <row r="24" spans="1:23" x14ac:dyDescent="0.25">
      <c r="A24" s="6">
        <v>-0.62354188759279339</v>
      </c>
      <c r="B24" s="7"/>
      <c r="C24" s="7"/>
      <c r="D24" s="7"/>
      <c r="E24" s="7">
        <v>-0.13815938971755215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10"/>
    </row>
    <row r="25" spans="1:23" ht="15.75" thickBot="1" x14ac:dyDescent="0.3">
      <c r="A25" s="11">
        <v>-0.10392364793212394</v>
      </c>
      <c r="B25" s="12"/>
      <c r="C25" s="12"/>
      <c r="D25" s="12"/>
      <c r="E25" s="12">
        <v>-2.3026564952923524E-2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3"/>
    </row>
    <row r="26" spans="1:23" ht="15.75" thickBot="1" x14ac:dyDescent="0.3"/>
    <row r="27" spans="1:23" x14ac:dyDescent="0.25">
      <c r="A27" s="1">
        <f>U1</f>
        <v>64.744186046511629</v>
      </c>
      <c r="B27" s="2">
        <f t="shared" ref="B27:C27" si="0">V1</f>
        <v>-12.093766113880523</v>
      </c>
      <c r="C27" s="3">
        <f t="shared" si="0"/>
        <v>3.4067011847380577</v>
      </c>
      <c r="D27" s="2"/>
      <c r="E27" s="4" cm="1">
        <f t="array" ref="E27:E29">_xlfn.ANCHORARRAY(E34)</f>
        <v>0.9816855539514765</v>
      </c>
      <c r="F27" s="2" cm="1">
        <f t="array" ref="F27:F29">_xlfn.ANCHORARRAY(E41)</f>
        <v>0.18561446552956293</v>
      </c>
      <c r="G27" s="3" cm="1">
        <f t="array" ref="G27:G29">_xlfn.ANCHORARRAY(E49)</f>
        <v>4.2903885012401242E-2</v>
      </c>
      <c r="H27" s="2"/>
      <c r="I27" s="4">
        <f>C34</f>
        <v>65.952061518990078</v>
      </c>
      <c r="J27" s="2">
        <f>B38</f>
        <v>-20.709546741557247</v>
      </c>
      <c r="K27" s="3">
        <f>B45</f>
        <v>3.8814444091253404</v>
      </c>
      <c r="L27" s="2"/>
      <c r="M27" s="4">
        <f>I27</f>
        <v>65.952061518990078</v>
      </c>
      <c r="N27" s="2">
        <f>J27</f>
        <v>-20.709546741557247</v>
      </c>
      <c r="O27" s="3">
        <f>K27</f>
        <v>3.8814444091253404</v>
      </c>
      <c r="P27" s="2"/>
      <c r="Q27" s="4">
        <f>E27</f>
        <v>0.9816855539514765</v>
      </c>
      <c r="R27" s="2">
        <f>F27</f>
        <v>0.18561446552956293</v>
      </c>
      <c r="S27" s="3">
        <f>G27</f>
        <v>4.2903885012401242E-2</v>
      </c>
      <c r="T27" s="2"/>
      <c r="U27" s="4">
        <f>Q27*M27+Q28*N27+Q29*O27</f>
        <v>68.742231442075322</v>
      </c>
      <c r="V27" s="2">
        <f>R27*M27+R28*N27+R29*O27</f>
        <v>-8.254122671660955</v>
      </c>
      <c r="W27" s="5">
        <f>S27*M27+S28*N27+S29*O27</f>
        <v>2.0756489331696493E-2</v>
      </c>
    </row>
    <row r="28" spans="1:23" x14ac:dyDescent="0.25">
      <c r="A28" s="6">
        <f t="shared" ref="A28:A29" si="1">U2</f>
        <v>-12.093766113880523</v>
      </c>
      <c r="B28" s="7">
        <f t="shared" ref="B28:C28" si="2">V2</f>
        <v>47.359737601420498</v>
      </c>
      <c r="C28" s="8">
        <f t="shared" si="2"/>
        <v>-2.9584830416961267</v>
      </c>
      <c r="D28" s="7" t="str">
        <f>"="</f>
        <v>=</v>
      </c>
      <c r="E28" s="9">
        <v>-0.18337207109740267</v>
      </c>
      <c r="F28" s="7">
        <v>0.98170034583104804</v>
      </c>
      <c r="G28" s="8">
        <v>-5.1372312938485779E-2</v>
      </c>
      <c r="H28" s="7" t="s">
        <v>13</v>
      </c>
      <c r="I28" s="9">
        <v>0</v>
      </c>
      <c r="J28" s="7">
        <f>C41</f>
        <v>44.374217966741746</v>
      </c>
      <c r="K28" s="8">
        <f>B46</f>
        <v>-2.2675873907439454</v>
      </c>
      <c r="L28" s="7" t="s">
        <v>12</v>
      </c>
      <c r="M28" s="9">
        <f>I28</f>
        <v>0</v>
      </c>
      <c r="N28" s="7">
        <f>J28</f>
        <v>44.374217966741746</v>
      </c>
      <c r="O28" s="8">
        <f>K28</f>
        <v>-2.2675873907439454</v>
      </c>
      <c r="P28" s="7" t="s">
        <v>13</v>
      </c>
      <c r="Q28" s="9">
        <f>E28</f>
        <v>-0.18337207109740267</v>
      </c>
      <c r="R28" s="7">
        <f>F28</f>
        <v>0.98170034583104804</v>
      </c>
      <c r="S28" s="8">
        <f>G28</f>
        <v>-5.1372312938485779E-2</v>
      </c>
      <c r="T28" s="7" t="str">
        <f>"="</f>
        <v>=</v>
      </c>
      <c r="U28" s="9">
        <f>M28*Q27+N28*Q28+O28*Q29</f>
        <v>-8.2541226716609533</v>
      </c>
      <c r="V28" s="7">
        <f>M28*R27+N28*R28+O28*R29</f>
        <v>43.658702902367999</v>
      </c>
      <c r="W28" s="10">
        <f>S27*M28+S28*N28+S29*O28</f>
        <v>-1.7103757011268428E-2</v>
      </c>
    </row>
    <row r="29" spans="1:23" x14ac:dyDescent="0.25">
      <c r="A29" s="6">
        <f t="shared" si="1"/>
        <v>3.4067011847379929</v>
      </c>
      <c r="B29" s="7">
        <f t="shared" ref="B29:C29" si="3">V3</f>
        <v>-2.9584830416960326</v>
      </c>
      <c r="C29" s="8">
        <f t="shared" si="3"/>
        <v>-0.10392364793212394</v>
      </c>
      <c r="D29" s="7"/>
      <c r="E29" s="9">
        <v>5.1654203163263905E-2</v>
      </c>
      <c r="F29" s="7">
        <v>-4.2564083231937326E-2</v>
      </c>
      <c r="G29" s="8">
        <v>-0.99775755678130196</v>
      </c>
      <c r="H29" s="7"/>
      <c r="I29" s="9">
        <v>0</v>
      </c>
      <c r="J29" s="7">
        <v>0</v>
      </c>
      <c r="K29" s="8">
        <f>C49</f>
        <v>0.40183543759538431</v>
      </c>
      <c r="L29" s="7"/>
      <c r="M29" s="9">
        <f>I29</f>
        <v>0</v>
      </c>
      <c r="N29" s="7">
        <f>J29</f>
        <v>0</v>
      </c>
      <c r="O29" s="8">
        <f>K29</f>
        <v>0.40183543759538431</v>
      </c>
      <c r="P29" s="7"/>
      <c r="Q29" s="9">
        <f>E29</f>
        <v>5.1654203163263905E-2</v>
      </c>
      <c r="R29" s="7">
        <f>F29</f>
        <v>-4.2564083231937326E-2</v>
      </c>
      <c r="S29" s="8">
        <f>G29</f>
        <v>-0.99775755678130196</v>
      </c>
      <c r="T29" s="7"/>
      <c r="U29" s="9">
        <f>Q27*M29+Q28*N29+Q29*O29</f>
        <v>2.0756489331751036E-2</v>
      </c>
      <c r="V29" s="7">
        <f>R27*M29+R28*N29+R29*O29</f>
        <v>-1.7103757011351896E-2</v>
      </c>
      <c r="W29" s="10">
        <f>S27*M29+S28*N29+S29*O29</f>
        <v>-0.40093434444331599</v>
      </c>
    </row>
    <row r="30" spans="1:23" x14ac:dyDescent="0.25">
      <c r="A30" s="6"/>
      <c r="B30" s="7" t="s">
        <v>16</v>
      </c>
      <c r="C30" s="7"/>
      <c r="D30" s="7"/>
      <c r="E30" s="7"/>
      <c r="F30" s="7" t="s">
        <v>14</v>
      </c>
      <c r="G30" s="7"/>
      <c r="H30" s="7"/>
      <c r="I30" s="7"/>
      <c r="J30" s="7" t="s">
        <v>15</v>
      </c>
      <c r="K30" s="7"/>
      <c r="L30" s="7"/>
      <c r="M30" s="7"/>
      <c r="N30" s="7" t="s">
        <v>15</v>
      </c>
      <c r="O30" s="7"/>
      <c r="P30" s="7"/>
      <c r="Q30" s="7"/>
      <c r="R30" s="7" t="s">
        <v>14</v>
      </c>
      <c r="S30" s="7"/>
      <c r="T30" s="7"/>
      <c r="U30" s="7"/>
      <c r="V30" s="7" t="s">
        <v>17</v>
      </c>
      <c r="W30" s="10"/>
    </row>
    <row r="31" spans="1:23" x14ac:dyDescent="0.2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10"/>
    </row>
    <row r="32" spans="1:23" x14ac:dyDescent="0.2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10"/>
    </row>
    <row r="33" spans="1:23" x14ac:dyDescent="0.25">
      <c r="A33" s="6" t="s">
        <v>0</v>
      </c>
      <c r="B33" s="7"/>
      <c r="C33" s="7" t="s">
        <v>1</v>
      </c>
      <c r="D33" s="7"/>
      <c r="E33" s="7" t="s">
        <v>2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10"/>
    </row>
    <row r="34" spans="1:23" x14ac:dyDescent="0.25">
      <c r="A34" s="6" cm="1">
        <f t="array" ref="A34:A36">A27:A29</f>
        <v>64.744186046511629</v>
      </c>
      <c r="B34" s="7"/>
      <c r="C34" s="7" cm="1">
        <f t="array" ref="C34">SQRT(SUM(_xlfn.ANCHORARRAY(A34)*_xlfn.ANCHORARRAY(A34)))</f>
        <v>65.952061518990078</v>
      </c>
      <c r="D34" s="7"/>
      <c r="E34" s="7" cm="1">
        <f t="array" ref="E34:E36">_xlfn.ANCHORARRAY(A34)/C34</f>
        <v>0.9816855539514765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10"/>
    </row>
    <row r="35" spans="1:23" x14ac:dyDescent="0.25">
      <c r="A35" s="6">
        <v>-12.093766113880523</v>
      </c>
      <c r="B35" s="7"/>
      <c r="C35" s="7"/>
      <c r="D35" s="7"/>
      <c r="E35" s="7">
        <v>-0.18337207109740267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10"/>
    </row>
    <row r="36" spans="1:23" x14ac:dyDescent="0.25">
      <c r="A36" s="6">
        <v>3.4067011847379929</v>
      </c>
      <c r="B36" s="7"/>
      <c r="C36" s="7"/>
      <c r="D36" s="7"/>
      <c r="E36" s="7">
        <v>5.1654203163263905E-2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10"/>
    </row>
    <row r="37" spans="1:23" x14ac:dyDescent="0.2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10"/>
    </row>
    <row r="38" spans="1:23" x14ac:dyDescent="0.25">
      <c r="A38" s="6" t="s">
        <v>3</v>
      </c>
      <c r="B38" s="7" cm="1">
        <f t="array" ref="B38">SUM(_xlfn.ANCHORARRAY(E34)*B27:B29)</f>
        <v>-20.709546741557247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10"/>
    </row>
    <row r="39" spans="1:23" x14ac:dyDescent="0.25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10"/>
    </row>
    <row r="40" spans="1:23" x14ac:dyDescent="0.25">
      <c r="A40" s="6" t="s">
        <v>4</v>
      </c>
      <c r="B40" s="7"/>
      <c r="C40" s="7" t="s">
        <v>5</v>
      </c>
      <c r="D40" s="7"/>
      <c r="E40" s="7" t="s">
        <v>6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10"/>
    </row>
    <row r="41" spans="1:23" x14ac:dyDescent="0.25">
      <c r="A41" s="6" cm="1">
        <f t="array" ref="A41:A43">B27:B29-B38*_xlfn.ANCHORARRAY(E34)</f>
        <v>8.2364967511890974</v>
      </c>
      <c r="B41" s="7"/>
      <c r="C41" s="7" cm="1">
        <f t="array" ref="C41">SQRT(SUM(_xlfn.ANCHORARRAY(A41)*_xlfn.ANCHORARRAY(A41)))</f>
        <v>44.374217966741746</v>
      </c>
      <c r="D41" s="7"/>
      <c r="E41" s="7" cm="1">
        <f t="array" ref="E41:E43">_xlfn.ANCHORARRAY(A41)/C41</f>
        <v>0.18561446552956293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10"/>
    </row>
    <row r="42" spans="1:23" x14ac:dyDescent="0.25">
      <c r="A42" s="6">
        <v>43.562185123932679</v>
      </c>
      <c r="B42" s="7"/>
      <c r="C42" s="7"/>
      <c r="D42" s="7"/>
      <c r="E42" s="7">
        <v>0.98170034583104804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10"/>
    </row>
    <row r="43" spans="1:23" x14ac:dyDescent="0.25">
      <c r="A43" s="6">
        <v>-1.8887479068885245</v>
      </c>
      <c r="B43" s="7"/>
      <c r="C43" s="7"/>
      <c r="D43" s="7"/>
      <c r="E43" s="7">
        <v>-4.2564083231937326E-2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10"/>
    </row>
    <row r="44" spans="1:23" x14ac:dyDescent="0.25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10"/>
    </row>
    <row r="45" spans="1:23" x14ac:dyDescent="0.25">
      <c r="A45" s="6" t="s">
        <v>8</v>
      </c>
      <c r="B45" s="7" cm="1">
        <f t="array" ref="B45">SUM(C27:C29*_xlfn.ANCHORARRAY(E34))</f>
        <v>3.8814444091253404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10"/>
    </row>
    <row r="46" spans="1:23" x14ac:dyDescent="0.25">
      <c r="A46" s="6" t="s">
        <v>7</v>
      </c>
      <c r="B46" s="7" cm="1">
        <f t="array" ref="B46">SUM(C27:C29*_xlfn.ANCHORARRAY(E41))</f>
        <v>-2.2675873907439454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10"/>
    </row>
    <row r="47" spans="1:23" x14ac:dyDescent="0.25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10"/>
    </row>
    <row r="48" spans="1:23" x14ac:dyDescent="0.25">
      <c r="A48" s="6" t="s">
        <v>9</v>
      </c>
      <c r="B48" s="7"/>
      <c r="C48" s="7" t="s">
        <v>10</v>
      </c>
      <c r="D48" s="7"/>
      <c r="E48" s="7" t="s">
        <v>11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10"/>
    </row>
    <row r="49" spans="1:23" x14ac:dyDescent="0.25">
      <c r="A49" s="6" cm="1">
        <f t="array" ref="A49:A51">C27:C29-B45*_xlfn.ANCHORARRAY(E34)-B46*_xlfn.ANCHORARRAY(E41)</f>
        <v>1.7240301408500303E-2</v>
      </c>
      <c r="B49" s="7"/>
      <c r="C49" s="7" cm="1">
        <f t="array" ref="C49">SQRT(SUM(_xlfn.ANCHORARRAY(A49)*_xlfn.ANCHORARRAY(A49)))</f>
        <v>0.40183543759538431</v>
      </c>
      <c r="D49" s="7"/>
      <c r="E49" s="7" cm="1">
        <f t="array" ref="E49:E51">_xlfn.ANCHORARRAY(A49)/C49</f>
        <v>4.2903885012401242E-2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10"/>
    </row>
    <row r="50" spans="1:23" x14ac:dyDescent="0.25">
      <c r="A50" s="6">
        <v>-2.0643215849923457E-2</v>
      </c>
      <c r="B50" s="7"/>
      <c r="C50" s="7"/>
      <c r="D50" s="7"/>
      <c r="E50" s="7">
        <v>-5.1372312938485779E-2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10"/>
    </row>
    <row r="51" spans="1:23" ht="15.75" thickBot="1" x14ac:dyDescent="0.3">
      <c r="A51" s="11">
        <v>-0.40093434444331599</v>
      </c>
      <c r="B51" s="12"/>
      <c r="C51" s="12"/>
      <c r="D51" s="12"/>
      <c r="E51" s="12">
        <v>-0.99775755678130196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3"/>
    </row>
    <row r="52" spans="1:23" ht="15.75" thickBot="1" x14ac:dyDescent="0.3"/>
    <row r="53" spans="1:23" x14ac:dyDescent="0.25">
      <c r="A53" s="1" cm="1">
        <f t="array" ref="A53:C55">U27:W29</f>
        <v>68.742231442075322</v>
      </c>
      <c r="B53" s="2">
        <v>-8.254122671660955</v>
      </c>
      <c r="C53" s="3">
        <v>2.0756489331696493E-2</v>
      </c>
      <c r="D53" s="2"/>
      <c r="E53" s="4" cm="1">
        <f t="array" ref="E53:E55">_xlfn.ANCHORARRAY(E60)</f>
        <v>0.99286815446936794</v>
      </c>
      <c r="F53" s="2" cm="1">
        <f t="array" ref="F53:F55">_xlfn.ANCHORARRAY(E67)</f>
        <v>0.11921727982769297</v>
      </c>
      <c r="G53" s="3" cm="1">
        <f t="array" ref="G53:G55">_xlfn.ANCHORARRAY(E75)</f>
        <v>2.6082767683296152E-4</v>
      </c>
      <c r="H53" s="2"/>
      <c r="I53" s="4">
        <f>C60</f>
        <v>69.236011984707247</v>
      </c>
      <c r="J53" s="2">
        <f>B64</f>
        <v>-13.400128472264099</v>
      </c>
      <c r="K53" s="3">
        <f>B71</f>
        <v>2.2527321662938544E-2</v>
      </c>
      <c r="L53" s="2"/>
      <c r="M53" s="4">
        <f>I53</f>
        <v>69.236011984707247</v>
      </c>
      <c r="N53" s="2">
        <f>J53</f>
        <v>-13.400128472264099</v>
      </c>
      <c r="O53" s="3">
        <f>K53</f>
        <v>2.2527321662938544E-2</v>
      </c>
      <c r="P53" s="2"/>
      <c r="Q53" s="4">
        <f>E53</f>
        <v>0.99286815446936794</v>
      </c>
      <c r="R53" s="2">
        <f>F53</f>
        <v>0.11921727982769297</v>
      </c>
      <c r="S53" s="3">
        <f>G53</f>
        <v>2.6082767683296152E-4</v>
      </c>
      <c r="T53" s="2"/>
      <c r="U53" s="4">
        <f>Q53*M53+Q54*N53+Q55*O53</f>
        <v>70.339763833724732</v>
      </c>
      <c r="V53" s="2">
        <f>R53*M53+R54*N53+R55*O53</f>
        <v>-5.0504385850451152</v>
      </c>
      <c r="W53" s="5">
        <f>S53*M53+S54*N53+S55*O53</f>
        <v>1.2020077969199933E-4</v>
      </c>
    </row>
    <row r="54" spans="1:23" x14ac:dyDescent="0.25">
      <c r="A54" s="6">
        <v>-8.2541226716609533</v>
      </c>
      <c r="B54" s="7">
        <v>43.658702902367999</v>
      </c>
      <c r="C54" s="8">
        <v>-1.7103757011268428E-2</v>
      </c>
      <c r="D54" s="7" t="str">
        <f>"="</f>
        <v>=</v>
      </c>
      <c r="E54" s="9">
        <v>-0.11921718820957095</v>
      </c>
      <c r="F54" s="7">
        <v>0.99286814067353146</v>
      </c>
      <c r="G54" s="8">
        <v>-3.4244837322267453E-4</v>
      </c>
      <c r="H54" s="7" t="s">
        <v>13</v>
      </c>
      <c r="I54" s="9">
        <v>0</v>
      </c>
      <c r="J54" s="7">
        <f>C67</f>
        <v>42.363306406150407</v>
      </c>
      <c r="K54" s="8">
        <f>B72</f>
        <v>-1.4383390219357011E-2</v>
      </c>
      <c r="L54" s="7" t="s">
        <v>12</v>
      </c>
      <c r="M54" s="9">
        <f>I54</f>
        <v>0</v>
      </c>
      <c r="N54" s="7">
        <f>J54</f>
        <v>42.363306406150407</v>
      </c>
      <c r="O54" s="8">
        <f>K54</f>
        <v>-1.4383390219357011E-2</v>
      </c>
      <c r="P54" s="7" t="s">
        <v>13</v>
      </c>
      <c r="Q54" s="9">
        <f>E54</f>
        <v>-0.11921718820957095</v>
      </c>
      <c r="R54" s="7">
        <f>F54</f>
        <v>0.99286814067353146</v>
      </c>
      <c r="S54" s="8">
        <f>G54</f>
        <v>-3.4244837322267453E-4</v>
      </c>
      <c r="T54" s="7" t="str">
        <f>"="</f>
        <v>=</v>
      </c>
      <c r="U54" s="9">
        <f>M54*Q53+N54*Q54+O54*Q55</f>
        <v>-5.0504385850451143</v>
      </c>
      <c r="V54" s="7">
        <f>M54*R53+N54*R54+O54*R55</f>
        <v>42.061181707444284</v>
      </c>
      <c r="W54" s="10">
        <f>S53*M54+S54*N54+S55*O54</f>
        <v>-1.2385647639820245E-4</v>
      </c>
    </row>
    <row r="55" spans="1:23" x14ac:dyDescent="0.25">
      <c r="A55" s="6">
        <v>2.0756489331751036E-2</v>
      </c>
      <c r="B55" s="7">
        <v>-1.7103757011351896E-2</v>
      </c>
      <c r="C55" s="8">
        <v>-0.40093434444331599</v>
      </c>
      <c r="D55" s="7"/>
      <c r="E55" s="9">
        <v>2.9979325407037744E-4</v>
      </c>
      <c r="F55" s="7">
        <v>-3.0891094208337802E-4</v>
      </c>
      <c r="G55" s="8">
        <v>-0.99999990734901301</v>
      </c>
      <c r="H55" s="7"/>
      <c r="I55" s="9">
        <v>0</v>
      </c>
      <c r="J55" s="7">
        <v>0</v>
      </c>
      <c r="K55" s="8">
        <f>C75</f>
        <v>0.40094557831700939</v>
      </c>
      <c r="L55" s="7"/>
      <c r="M55" s="9">
        <f>I55</f>
        <v>0</v>
      </c>
      <c r="N55" s="7">
        <f>J55</f>
        <v>0</v>
      </c>
      <c r="O55" s="8">
        <f>K55</f>
        <v>0.40094557831700939</v>
      </c>
      <c r="P55" s="7"/>
      <c r="Q55" s="9">
        <f>E55</f>
        <v>2.9979325407037744E-4</v>
      </c>
      <c r="R55" s="7">
        <f>F55</f>
        <v>-3.0891094208337802E-4</v>
      </c>
      <c r="S55" s="8">
        <f>G55</f>
        <v>-0.99999990734901301</v>
      </c>
      <c r="T55" s="7"/>
      <c r="U55" s="9">
        <f>Q53*M55+Q54*N55+Q55*O55</f>
        <v>1.2020077962878561E-4</v>
      </c>
      <c r="V55" s="7">
        <f>R53*M55+R54*N55+R55*O55</f>
        <v>-1.2385647632207219E-4</v>
      </c>
      <c r="W55" s="10">
        <f>S53*M55+S54*N55+S55*O55</f>
        <v>-0.40094554116900583</v>
      </c>
    </row>
    <row r="56" spans="1:23" x14ac:dyDescent="0.25">
      <c r="A56" s="6"/>
      <c r="B56" s="7" t="s">
        <v>16</v>
      </c>
      <c r="C56" s="7"/>
      <c r="D56" s="7"/>
      <c r="E56" s="7"/>
      <c r="F56" s="7" t="s">
        <v>14</v>
      </c>
      <c r="G56" s="7"/>
      <c r="H56" s="7"/>
      <c r="I56" s="7"/>
      <c r="J56" s="7" t="s">
        <v>15</v>
      </c>
      <c r="K56" s="7"/>
      <c r="L56" s="7"/>
      <c r="M56" s="7"/>
      <c r="N56" s="7" t="s">
        <v>15</v>
      </c>
      <c r="O56" s="7"/>
      <c r="P56" s="7"/>
      <c r="Q56" s="7"/>
      <c r="R56" s="7" t="s">
        <v>14</v>
      </c>
      <c r="S56" s="7"/>
      <c r="T56" s="7"/>
      <c r="U56" s="7"/>
      <c r="V56" s="7" t="s">
        <v>17</v>
      </c>
      <c r="W56" s="10"/>
    </row>
    <row r="57" spans="1:23" x14ac:dyDescent="0.25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10"/>
    </row>
    <row r="58" spans="1:23" x14ac:dyDescent="0.25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10"/>
    </row>
    <row r="59" spans="1:23" x14ac:dyDescent="0.25">
      <c r="A59" s="6" t="s">
        <v>0</v>
      </c>
      <c r="B59" s="7"/>
      <c r="C59" s="7" t="s">
        <v>1</v>
      </c>
      <c r="D59" s="7"/>
      <c r="E59" s="7" t="s">
        <v>2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10"/>
    </row>
    <row r="60" spans="1:23" x14ac:dyDescent="0.25">
      <c r="A60" s="6" cm="1">
        <f t="array" ref="A60:A62">A53:A55</f>
        <v>68.742231442075322</v>
      </c>
      <c r="B60" s="7"/>
      <c r="C60" s="7" cm="1">
        <f t="array" ref="C60">SQRT(SUM(_xlfn.ANCHORARRAY(A60)*_xlfn.ANCHORARRAY(A60)))</f>
        <v>69.236011984707247</v>
      </c>
      <c r="D60" s="7"/>
      <c r="E60" s="7" cm="1">
        <f t="array" ref="E60:E62">_xlfn.ANCHORARRAY(A60)/C60</f>
        <v>0.99286815446936794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10"/>
    </row>
    <row r="61" spans="1:23" x14ac:dyDescent="0.25">
      <c r="A61" s="6">
        <v>-8.2541226716609533</v>
      </c>
      <c r="B61" s="7"/>
      <c r="C61" s="7"/>
      <c r="D61" s="7"/>
      <c r="E61" s="7">
        <v>-0.11921718820957095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10"/>
    </row>
    <row r="62" spans="1:23" x14ac:dyDescent="0.25">
      <c r="A62" s="6">
        <v>2.0756489331751036E-2</v>
      </c>
      <c r="B62" s="7"/>
      <c r="C62" s="7"/>
      <c r="D62" s="7"/>
      <c r="E62" s="7">
        <v>2.9979325407037744E-4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10"/>
    </row>
    <row r="63" spans="1:23" x14ac:dyDescent="0.25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10"/>
    </row>
    <row r="64" spans="1:23" x14ac:dyDescent="0.25">
      <c r="A64" s="6" t="s">
        <v>3</v>
      </c>
      <c r="B64" s="7" cm="1">
        <f t="array" ref="B64">SUM(_xlfn.ANCHORARRAY(E60)*B53:B55)</f>
        <v>-13.400128472264099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10"/>
    </row>
    <row r="65" spans="1:23" x14ac:dyDescent="0.25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10"/>
    </row>
    <row r="66" spans="1:23" x14ac:dyDescent="0.25">
      <c r="A66" s="6" t="s">
        <v>4</v>
      </c>
      <c r="B66" s="7"/>
      <c r="C66" s="7" t="s">
        <v>5</v>
      </c>
      <c r="D66" s="7"/>
      <c r="E66" s="7" t="s">
        <v>6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10"/>
    </row>
    <row r="67" spans="1:23" x14ac:dyDescent="0.25">
      <c r="A67" s="6" cm="1">
        <f t="array" ref="A67:A69">B53:B55-B64*_xlfn.ANCHORARRAY(E60)</f>
        <v>5.0504381542483312</v>
      </c>
      <c r="B67" s="7"/>
      <c r="C67" s="7" cm="1">
        <f t="array" ref="C67">SQRT(SUM(_xlfn.ANCHORARRAY(A67)*_xlfn.ANCHORARRAY(A67)))</f>
        <v>42.363306406150407</v>
      </c>
      <c r="D67" s="7"/>
      <c r="E67" s="7" cm="1">
        <f t="array" ref="E67:E69">_xlfn.ANCHORARRAY(A67)/C67</f>
        <v>0.11921727982769297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10"/>
    </row>
    <row r="68" spans="1:23" x14ac:dyDescent="0.25">
      <c r="A68" s="6">
        <v>42.061177264257658</v>
      </c>
      <c r="B68" s="7"/>
      <c r="C68" s="7"/>
      <c r="D68" s="7"/>
      <c r="E68" s="7">
        <v>0.99286814067353146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10"/>
    </row>
    <row r="69" spans="1:23" x14ac:dyDescent="0.25">
      <c r="A69" s="6">
        <v>-1.3086488891690725E-2</v>
      </c>
      <c r="B69" s="7"/>
      <c r="C69" s="7"/>
      <c r="D69" s="7"/>
      <c r="E69" s="7">
        <v>-3.0891094208337802E-4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10"/>
    </row>
    <row r="70" spans="1:23" x14ac:dyDescent="0.25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10"/>
    </row>
    <row r="71" spans="1:23" x14ac:dyDescent="0.25">
      <c r="A71" s="6" t="s">
        <v>8</v>
      </c>
      <c r="B71" s="7" cm="1">
        <f t="array" ref="B71">SUM(C53:C55*_xlfn.ANCHORARRAY(E60))</f>
        <v>2.2527321662938544E-2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10"/>
    </row>
    <row r="72" spans="1:23" x14ac:dyDescent="0.25">
      <c r="A72" s="6" t="s">
        <v>7</v>
      </c>
      <c r="B72" s="7" cm="1">
        <f t="array" ref="B72">SUM(C53:C55*_xlfn.ANCHORARRAY(E67))</f>
        <v>-1.4383390219357011E-2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10"/>
    </row>
    <row r="73" spans="1:23" x14ac:dyDescent="0.25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10"/>
    </row>
    <row r="74" spans="1:23" x14ac:dyDescent="0.25">
      <c r="A74" s="6" t="s">
        <v>9</v>
      </c>
      <c r="B74" s="7"/>
      <c r="C74" s="7" t="s">
        <v>10</v>
      </c>
      <c r="D74" s="7"/>
      <c r="E74" s="7" t="s">
        <v>11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10"/>
    </row>
    <row r="75" spans="1:23" x14ac:dyDescent="0.25">
      <c r="A75" s="6" cm="1">
        <f t="array" ref="A75:A77">C53:C55-B71*_xlfn.ANCHORARRAY(E60)-B72*_xlfn.ANCHORARRAY(E67)</f>
        <v>1.045777037288738E-4</v>
      </c>
      <c r="B75" s="7"/>
      <c r="C75" s="7" cm="1">
        <f t="array" ref="C75">SQRT(SUM(_xlfn.ANCHORARRAY(A75)*_xlfn.ANCHORARRAY(A75)))</f>
        <v>0.40094557831700939</v>
      </c>
      <c r="D75" s="7"/>
      <c r="E75" s="7" cm="1">
        <f t="array" ref="E75:E77">_xlfn.ANCHORARRAY(A75)/C75</f>
        <v>2.6082767683296152E-4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10"/>
    </row>
    <row r="76" spans="1:23" x14ac:dyDescent="0.25">
      <c r="A76" s="6">
        <v>-1.3730316104548432E-4</v>
      </c>
      <c r="B76" s="7"/>
      <c r="C76" s="7"/>
      <c r="D76" s="7"/>
      <c r="E76" s="7">
        <v>-3.4244837322267453E-4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10"/>
    </row>
    <row r="77" spans="1:23" ht="15.75" thickBot="1" x14ac:dyDescent="0.3">
      <c r="A77" s="11">
        <v>-0.40094554116900583</v>
      </c>
      <c r="B77" s="12"/>
      <c r="C77" s="12"/>
      <c r="D77" s="12"/>
      <c r="E77" s="12">
        <v>-0.99999990734901301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3"/>
    </row>
    <row r="78" spans="1:23" ht="15.75" thickBot="1" x14ac:dyDescent="0.3"/>
    <row r="79" spans="1:23" x14ac:dyDescent="0.25">
      <c r="A79" s="1" cm="1">
        <f t="array" ref="A79:C81">U53:W55</f>
        <v>70.339763833724732</v>
      </c>
      <c r="B79" s="2">
        <v>-5.0504385850451152</v>
      </c>
      <c r="C79" s="3">
        <v>1.2020077969199933E-4</v>
      </c>
      <c r="D79" s="2"/>
      <c r="E79" s="4" cm="1">
        <f t="array" ref="E79:E81">_xlfn.ANCHORARRAY(E86)</f>
        <v>0.99743225945861802</v>
      </c>
      <c r="F79" s="2" cm="1">
        <f t="array" ref="F79:F81">_xlfn.ANCHORARRAY(E93)</f>
        <v>7.1616253664895171E-2</v>
      </c>
      <c r="G79" s="3" cm="1">
        <f t="array" ref="G79:G81">_xlfn.ANCHORARRAY(E101)</f>
        <v>1.5104523091084133E-6</v>
      </c>
      <c r="H79" s="2"/>
      <c r="I79" s="4">
        <f>C86</f>
        <v>70.520843061466095</v>
      </c>
      <c r="J79" s="2">
        <f>B90</f>
        <v>-8.0497346277720538</v>
      </c>
      <c r="K79" s="3">
        <f>B97</f>
        <v>1.2807887178921431E-4</v>
      </c>
      <c r="L79" s="2"/>
      <c r="M79" s="4">
        <f>I79</f>
        <v>70.520843061466095</v>
      </c>
      <c r="N79" s="2">
        <f>J79</f>
        <v>-8.0497346277720538</v>
      </c>
      <c r="O79" s="3">
        <f>K79</f>
        <v>1.2807887178921431E-4</v>
      </c>
      <c r="P79" s="2"/>
      <c r="Q79" s="4">
        <f>E79</f>
        <v>0.99743225945861802</v>
      </c>
      <c r="R79" s="2">
        <f>F79</f>
        <v>7.1616253664895171E-2</v>
      </c>
      <c r="S79" s="3">
        <f>G79</f>
        <v>1.5104523091084133E-6</v>
      </c>
      <c r="T79" s="2"/>
      <c r="U79" s="4">
        <f>Q79*M79+Q80*N79+Q81*O79</f>
        <v>70.916255670945603</v>
      </c>
      <c r="V79" s="2">
        <f>R79*M79+R80*N79+R81*O79</f>
        <v>-2.9786264127888069</v>
      </c>
      <c r="W79" s="5">
        <f>S79*M79+S80*N79+S81*O79</f>
        <v>6.8340025128593826E-7</v>
      </c>
    </row>
    <row r="80" spans="1:23" x14ac:dyDescent="0.25">
      <c r="A80" s="6">
        <v>-5.0504385850451143</v>
      </c>
      <c r="B80" s="7">
        <v>42.061181707444284</v>
      </c>
      <c r="C80" s="8">
        <v>-1.2385647639820245E-4</v>
      </c>
      <c r="D80" s="7" t="str">
        <f>"="</f>
        <v>=</v>
      </c>
      <c r="E80" s="9">
        <v>-7.1616253660540377E-2</v>
      </c>
      <c r="F80" s="7">
        <v>0.99743225945624669</v>
      </c>
      <c r="G80" s="8">
        <v>-2.7633087084211309E-6</v>
      </c>
      <c r="H80" s="7" t="s">
        <v>13</v>
      </c>
      <c r="I80" s="9">
        <v>0</v>
      </c>
      <c r="J80" s="7">
        <f>C93</f>
        <v>41.591486015358313</v>
      </c>
      <c r="K80" s="8">
        <f>B98</f>
        <v>-1.1386839561671052E-4</v>
      </c>
      <c r="L80" s="7" t="s">
        <v>12</v>
      </c>
      <c r="M80" s="9">
        <f>I80</f>
        <v>0</v>
      </c>
      <c r="N80" s="7">
        <f>J80</f>
        <v>41.591486015358313</v>
      </c>
      <c r="O80" s="8">
        <f>K80</f>
        <v>-1.1386839561671052E-4</v>
      </c>
      <c r="P80" s="7" t="s">
        <v>13</v>
      </c>
      <c r="Q80" s="9">
        <f>E80</f>
        <v>-7.1616253660540377E-2</v>
      </c>
      <c r="R80" s="7">
        <f>F80</f>
        <v>0.99743225945624669</v>
      </c>
      <c r="S80" s="8">
        <f>G80</f>
        <v>-2.7633087084211309E-6</v>
      </c>
      <c r="T80" s="7" t="str">
        <f>"="</f>
        <v>=</v>
      </c>
      <c r="U80" s="9">
        <f>M80*Q79+N80*Q80+O80*Q81</f>
        <v>-2.9786264127888042</v>
      </c>
      <c r="V80" s="7">
        <f>M80*R79+N80*R80+O80*R81</f>
        <v>41.484689870743253</v>
      </c>
      <c r="W80" s="10">
        <f>S79*M80+S80*N80+S81*O80</f>
        <v>-1.0617198862694199E-6</v>
      </c>
    </row>
    <row r="81" spans="1:23" x14ac:dyDescent="0.25">
      <c r="A81" s="6">
        <v>1.2020077962878561E-4</v>
      </c>
      <c r="B81" s="7">
        <v>-1.2385647632207219E-4</v>
      </c>
      <c r="C81" s="8">
        <v>-0.40094554116900583</v>
      </c>
      <c r="D81" s="7"/>
      <c r="E81" s="9">
        <v>1.7044716768915878E-6</v>
      </c>
      <c r="F81" s="7">
        <v>-2.6480403129109606E-6</v>
      </c>
      <c r="G81" s="8">
        <v>-0.99999999999504141</v>
      </c>
      <c r="H81" s="7"/>
      <c r="I81" s="9">
        <v>0</v>
      </c>
      <c r="J81" s="7">
        <v>0</v>
      </c>
      <c r="K81" s="8">
        <f>C101</f>
        <v>0.40094554169082885</v>
      </c>
      <c r="L81" s="7"/>
      <c r="M81" s="9">
        <f>I81</f>
        <v>0</v>
      </c>
      <c r="N81" s="7">
        <f>J81</f>
        <v>0</v>
      </c>
      <c r="O81" s="8">
        <f>K81</f>
        <v>0.40094554169082885</v>
      </c>
      <c r="P81" s="7"/>
      <c r="Q81" s="9">
        <f>E81</f>
        <v>1.7044716768915878E-6</v>
      </c>
      <c r="R81" s="7">
        <f>F81</f>
        <v>-2.6480403129109606E-6</v>
      </c>
      <c r="S81" s="8">
        <f>G81</f>
        <v>-0.99999999999504141</v>
      </c>
      <c r="T81" s="7"/>
      <c r="U81" s="9">
        <f>Q79*M81+Q80*N81+Q81*O81</f>
        <v>6.8340031978797314E-7</v>
      </c>
      <c r="V81" s="7">
        <f>R79*M81+R80*N81+R81*O81</f>
        <v>-1.061719957679237E-6</v>
      </c>
      <c r="W81" s="10">
        <f>S79*M81+S80*N81+S81*O81</f>
        <v>-0.40094554168884072</v>
      </c>
    </row>
    <row r="82" spans="1:23" x14ac:dyDescent="0.25">
      <c r="A82" s="6"/>
      <c r="B82" s="7" t="s">
        <v>16</v>
      </c>
      <c r="C82" s="7"/>
      <c r="D82" s="7"/>
      <c r="E82" s="7"/>
      <c r="F82" s="7" t="s">
        <v>14</v>
      </c>
      <c r="G82" s="7"/>
      <c r="H82" s="7"/>
      <c r="I82" s="7"/>
      <c r="J82" s="7" t="s">
        <v>15</v>
      </c>
      <c r="K82" s="7"/>
      <c r="L82" s="7"/>
      <c r="M82" s="7"/>
      <c r="N82" s="7" t="s">
        <v>15</v>
      </c>
      <c r="O82" s="7"/>
      <c r="P82" s="7"/>
      <c r="Q82" s="7"/>
      <c r="R82" s="7" t="s">
        <v>14</v>
      </c>
      <c r="S82" s="7"/>
      <c r="T82" s="7"/>
      <c r="U82" s="7"/>
      <c r="V82" s="7" t="s">
        <v>17</v>
      </c>
      <c r="W82" s="10"/>
    </row>
    <row r="83" spans="1:23" x14ac:dyDescent="0.25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10"/>
    </row>
    <row r="84" spans="1:23" x14ac:dyDescent="0.25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10"/>
    </row>
    <row r="85" spans="1:23" x14ac:dyDescent="0.25">
      <c r="A85" s="6" t="s">
        <v>0</v>
      </c>
      <c r="B85" s="7"/>
      <c r="C85" s="7" t="s">
        <v>1</v>
      </c>
      <c r="D85" s="7"/>
      <c r="E85" s="7" t="s">
        <v>2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10"/>
    </row>
    <row r="86" spans="1:23" x14ac:dyDescent="0.25">
      <c r="A86" s="6" cm="1">
        <f t="array" ref="A86:A88">A79:A81</f>
        <v>70.339763833724732</v>
      </c>
      <c r="B86" s="7"/>
      <c r="C86" s="7" cm="1">
        <f t="array" ref="C86">SQRT(SUM(_xlfn.ANCHORARRAY(A86)*_xlfn.ANCHORARRAY(A86)))</f>
        <v>70.520843061466095</v>
      </c>
      <c r="D86" s="7"/>
      <c r="E86" s="7" cm="1">
        <f t="array" ref="E86:E88">_xlfn.ANCHORARRAY(A86)/C86</f>
        <v>0.99743225945861802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10"/>
    </row>
    <row r="87" spans="1:23" x14ac:dyDescent="0.25">
      <c r="A87" s="6">
        <v>-5.0504385850451143</v>
      </c>
      <c r="B87" s="7"/>
      <c r="C87" s="7"/>
      <c r="D87" s="7"/>
      <c r="E87" s="7">
        <v>-7.1616253660540377E-2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10"/>
    </row>
    <row r="88" spans="1:23" x14ac:dyDescent="0.25">
      <c r="A88" s="6">
        <v>1.2020077962878561E-4</v>
      </c>
      <c r="B88" s="7"/>
      <c r="C88" s="7"/>
      <c r="D88" s="7"/>
      <c r="E88" s="7">
        <v>1.7044716768915878E-6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10"/>
    </row>
    <row r="89" spans="1:23" x14ac:dyDescent="0.25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10"/>
    </row>
    <row r="90" spans="1:23" x14ac:dyDescent="0.25">
      <c r="A90" s="6" t="s">
        <v>3</v>
      </c>
      <c r="B90" s="7" cm="1">
        <f t="array" ref="B90">SUM(_xlfn.ANCHORARRAY(E86)*B79:B81)</f>
        <v>-8.0497346277720538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10"/>
    </row>
    <row r="91" spans="1:23" x14ac:dyDescent="0.25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10"/>
    </row>
    <row r="92" spans="1:23" x14ac:dyDescent="0.25">
      <c r="A92" s="6" t="s">
        <v>4</v>
      </c>
      <c r="B92" s="7"/>
      <c r="C92" s="7" t="s">
        <v>5</v>
      </c>
      <c r="D92" s="7"/>
      <c r="E92" s="7" t="s">
        <v>6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10"/>
    </row>
    <row r="93" spans="1:23" x14ac:dyDescent="0.25">
      <c r="A93" s="6" cm="1">
        <f t="array" ref="A93:A95">B79:B81-B90*_xlfn.ANCHORARRAY(E86)</f>
        <v>2.9786264127758413</v>
      </c>
      <c r="B93" s="7"/>
      <c r="C93" s="7" cm="1">
        <f t="array" ref="C93">SQRT(SUM(_xlfn.ANCHORARRAY(A93)*_xlfn.ANCHORARRAY(A93)))</f>
        <v>41.591486015358313</v>
      </c>
      <c r="D93" s="7"/>
      <c r="E93" s="7" cm="1">
        <f t="array" ref="E93:E95">_xlfn.ANCHORARRAY(A93)/C93</f>
        <v>7.1616253664895171E-2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10"/>
    </row>
    <row r="94" spans="1:23" x14ac:dyDescent="0.25">
      <c r="A94" s="6">
        <v>41.484689870441727</v>
      </c>
      <c r="B94" s="7"/>
      <c r="C94" s="7"/>
      <c r="D94" s="7"/>
      <c r="E94" s="7">
        <v>0.99743225945624669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10"/>
    </row>
    <row r="95" spans="1:23" x14ac:dyDescent="0.25">
      <c r="A95" s="6">
        <v>-1.1013593164254127E-4</v>
      </c>
      <c r="B95" s="7"/>
      <c r="C95" s="7"/>
      <c r="D95" s="7"/>
      <c r="E95" s="7">
        <v>-2.6480403129109606E-6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10"/>
    </row>
    <row r="96" spans="1:23" x14ac:dyDescent="0.25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10"/>
    </row>
    <row r="97" spans="1:23" x14ac:dyDescent="0.25">
      <c r="A97" s="6" t="s">
        <v>8</v>
      </c>
      <c r="B97" s="7" cm="1">
        <f t="array" ref="B97">SUM(C79:C81*_xlfn.ANCHORARRAY(E86))</f>
        <v>1.2807887178921431E-4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10"/>
    </row>
    <row r="98" spans="1:23" x14ac:dyDescent="0.25">
      <c r="A98" s="6" t="s">
        <v>7</v>
      </c>
      <c r="B98" s="7" cm="1">
        <f t="array" ref="B98">SUM(C79:C81*_xlfn.ANCHORARRAY(E93))</f>
        <v>-1.1386839561671052E-4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10"/>
    </row>
    <row r="99" spans="1:23" x14ac:dyDescent="0.25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10"/>
    </row>
    <row r="100" spans="1:23" x14ac:dyDescent="0.25">
      <c r="A100" s="6" t="s">
        <v>9</v>
      </c>
      <c r="B100" s="7"/>
      <c r="C100" s="7" t="s">
        <v>10</v>
      </c>
      <c r="D100" s="7"/>
      <c r="E100" s="7" t="s">
        <v>11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10"/>
    </row>
    <row r="101" spans="1:23" x14ac:dyDescent="0.25">
      <c r="A101" s="6" cm="1">
        <f t="array" ref="A101:A103">C79:C81-B97*_xlfn.ANCHORARRAY(E86)-B98*_xlfn.ANCHORARRAY(E93)</f>
        <v>6.0560911927363602E-7</v>
      </c>
      <c r="B101" s="7"/>
      <c r="C101" s="7" cm="1">
        <f t="array" ref="C101">SQRT(SUM(_xlfn.ANCHORARRAY(A101)*_xlfn.ANCHORARRAY(A101)))</f>
        <v>0.40094554169082885</v>
      </c>
      <c r="D101" s="7"/>
      <c r="E101" s="7" cm="1">
        <f t="array" ref="E101:E103">_xlfn.ANCHORARRAY(A101)/C101</f>
        <v>1.5104523091084133E-6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10"/>
    </row>
    <row r="102" spans="1:23" x14ac:dyDescent="0.25">
      <c r="A102" s="6">
        <v>-1.107936306956895E-6</v>
      </c>
      <c r="B102" s="7"/>
      <c r="C102" s="7"/>
      <c r="D102" s="7"/>
      <c r="E102" s="7">
        <v>-2.7633087084211309E-6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10"/>
    </row>
    <row r="103" spans="1:23" ht="15.75" thickBot="1" x14ac:dyDescent="0.3">
      <c r="A103" s="11">
        <v>-0.40094554168884072</v>
      </c>
      <c r="B103" s="12"/>
      <c r="C103" s="12"/>
      <c r="D103" s="12"/>
      <c r="E103" s="12">
        <v>-0.99999999999504141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3"/>
    </row>
    <row r="104" spans="1:23" ht="15.75" thickBot="1" x14ac:dyDescent="0.3"/>
    <row r="105" spans="1:23" x14ac:dyDescent="0.25">
      <c r="A105" s="1" cm="1">
        <f t="array" ref="A105:C107">U79:W81</f>
        <v>70.916255670945603</v>
      </c>
      <c r="B105" s="2">
        <v>-2.9786264127888069</v>
      </c>
      <c r="C105" s="3">
        <v>6.8340025128593826E-7</v>
      </c>
      <c r="D105" s="2"/>
      <c r="E105" s="4" cm="1">
        <f t="array" ref="E105:E107">_xlfn.ANCHORARRAY(E112)</f>
        <v>0.99911908030496155</v>
      </c>
      <c r="F105" s="2" cm="1">
        <f t="array" ref="F105:F107">_xlfn.ANCHORARRAY(E119)</f>
        <v>4.196502556376365E-2</v>
      </c>
      <c r="G105" s="3" cm="1">
        <f t="array" ref="G105:G107">_xlfn.ANCHORARRAY(E127)</f>
        <v>8.5876613633624453E-9</v>
      </c>
      <c r="H105" s="2"/>
      <c r="I105" s="4">
        <f>C112</f>
        <v>70.978782278184298</v>
      </c>
      <c r="J105" s="2">
        <f>B116</f>
        <v>-4.7169085530481691</v>
      </c>
      <c r="K105" s="3">
        <f>B123</f>
        <v>7.2349293524556674E-7</v>
      </c>
      <c r="L105" s="2"/>
      <c r="M105" s="4">
        <f>I105</f>
        <v>70.978782278184298</v>
      </c>
      <c r="N105" s="2">
        <f>J105</f>
        <v>-4.7169085530481691</v>
      </c>
      <c r="O105" s="3">
        <f>K105</f>
        <v>7.2349293524556674E-7</v>
      </c>
      <c r="P105" s="2"/>
      <c r="Q105" s="4">
        <f>E105</f>
        <v>0.99911908030496155</v>
      </c>
      <c r="R105" s="2">
        <f>F105</f>
        <v>4.196502556376365E-2</v>
      </c>
      <c r="S105" s="3">
        <f>G105</f>
        <v>8.5876613633624453E-9</v>
      </c>
      <c r="T105" s="2"/>
      <c r="U105" s="4">
        <f>Q105*M105+Q106*N105+Q107*O105</f>
        <v>71.11420085895621</v>
      </c>
      <c r="V105" s="2">
        <f>R105*M105+R106*N105+R107*O105</f>
        <v>-1.7341269226152933</v>
      </c>
      <c r="W105" s="5">
        <f>S105*M105+S106*N105+S107*O105</f>
        <v>3.8604689067030697E-9</v>
      </c>
    </row>
    <row r="106" spans="1:23" x14ac:dyDescent="0.25">
      <c r="A106" s="6">
        <v>-2.9786264127888042</v>
      </c>
      <c r="B106" s="7">
        <v>41.484689870743253</v>
      </c>
      <c r="C106" s="8">
        <v>-1.0617198862694199E-6</v>
      </c>
      <c r="D106" s="7"/>
      <c r="E106" s="9">
        <v>-4.1965025563763449E-2</v>
      </c>
      <c r="F106" s="7">
        <v>0.99911908030496155</v>
      </c>
      <c r="G106" s="8">
        <v>-2.4976455794814767E-8</v>
      </c>
      <c r="H106" s="7"/>
      <c r="I106" s="9">
        <v>0</v>
      </c>
      <c r="J106" s="7">
        <f>C119</f>
        <v>41.323147056835992</v>
      </c>
      <c r="K106" s="8">
        <f>B124</f>
        <v>-1.0222448037292731E-6</v>
      </c>
      <c r="L106" s="7" t="s">
        <v>12</v>
      </c>
      <c r="M106" s="9">
        <f>I106</f>
        <v>0</v>
      </c>
      <c r="N106" s="7">
        <f>J106</f>
        <v>41.323147056835992</v>
      </c>
      <c r="O106" s="8">
        <f>K106</f>
        <v>-1.0222448037292731E-6</v>
      </c>
      <c r="P106" s="7" t="s">
        <v>13</v>
      </c>
      <c r="Q106" s="9">
        <f>E106</f>
        <v>-4.1965025563763449E-2</v>
      </c>
      <c r="R106" s="7">
        <f>F106</f>
        <v>0.99911908030496155</v>
      </c>
      <c r="S106" s="8">
        <f>G106</f>
        <v>-2.4976455794814767E-8</v>
      </c>
      <c r="T106" s="7" t="str">
        <f>"="</f>
        <v>=</v>
      </c>
      <c r="U106" s="9">
        <f>M106*Q105+N106*Q106+O106*Q107</f>
        <v>-1.7341269226152884</v>
      </c>
      <c r="V106" s="7">
        <f>M106*R105+N106*R106+O106*R107</f>
        <v>41.286744682732682</v>
      </c>
      <c r="W106" s="10">
        <f>S105*M106+S106*N106+S107*O106</f>
        <v>-9.8609520384213311E-9</v>
      </c>
    </row>
    <row r="107" spans="1:23" x14ac:dyDescent="0.25">
      <c r="A107" s="6">
        <v>6.8340031978797314E-7</v>
      </c>
      <c r="B107" s="7">
        <v>-1.061719957679237E-6</v>
      </c>
      <c r="C107" s="8">
        <v>-0.40094554168884072</v>
      </c>
      <c r="D107" s="7"/>
      <c r="E107" s="9">
        <v>9.6282339292543743E-9</v>
      </c>
      <c r="F107" s="7">
        <v>-2.4594072114346951E-8</v>
      </c>
      <c r="G107" s="8">
        <v>-0.99999999999999978</v>
      </c>
      <c r="H107" s="7"/>
      <c r="I107" s="9">
        <v>0</v>
      </c>
      <c r="J107" s="7">
        <v>0</v>
      </c>
      <c r="K107" s="8">
        <f>C127</f>
        <v>0.40094554168887292</v>
      </c>
      <c r="L107" s="7"/>
      <c r="M107" s="9">
        <f>I107</f>
        <v>0</v>
      </c>
      <c r="N107" s="7">
        <f>J107</f>
        <v>0</v>
      </c>
      <c r="O107" s="8">
        <f>K107</f>
        <v>0.40094554168887292</v>
      </c>
      <c r="P107" s="7"/>
      <c r="Q107" s="9">
        <f>E107</f>
        <v>9.6282339292543743E-9</v>
      </c>
      <c r="R107" s="7">
        <f>F107</f>
        <v>-2.4594072114346951E-8</v>
      </c>
      <c r="S107" s="8">
        <f>G107</f>
        <v>-0.99999999999999978</v>
      </c>
      <c r="T107" s="7"/>
      <c r="U107" s="9">
        <f>Q105*M107+Q106*N107+Q107*O107</f>
        <v>3.8603974682720802E-9</v>
      </c>
      <c r="V107" s="7">
        <f>R105*M107+R106*N107+R107*O107</f>
        <v>-9.8608835662220423E-9</v>
      </c>
      <c r="W107" s="10">
        <f>S105*M107+S106*N107+S107*O107</f>
        <v>-0.40094554168887281</v>
      </c>
    </row>
    <row r="108" spans="1:23" x14ac:dyDescent="0.25">
      <c r="A108" s="6"/>
      <c r="B108" s="7"/>
      <c r="C108" s="7"/>
      <c r="D108" s="7"/>
      <c r="E108" s="7"/>
      <c r="F108" s="7"/>
      <c r="G108" s="7"/>
      <c r="H108" s="7"/>
      <c r="I108" s="7"/>
      <c r="J108" s="7" t="s">
        <v>15</v>
      </c>
      <c r="K108" s="7"/>
      <c r="L108" s="7"/>
      <c r="M108" s="7"/>
      <c r="N108" s="7" t="s">
        <v>15</v>
      </c>
      <c r="O108" s="7"/>
      <c r="P108" s="7"/>
      <c r="Q108" s="7"/>
      <c r="R108" s="7" t="s">
        <v>14</v>
      </c>
      <c r="S108" s="7"/>
      <c r="T108" s="7"/>
      <c r="U108" s="7"/>
      <c r="V108" s="7" t="s">
        <v>17</v>
      </c>
      <c r="W108" s="10"/>
    </row>
    <row r="109" spans="1:23" x14ac:dyDescent="0.25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10"/>
    </row>
    <row r="110" spans="1:23" x14ac:dyDescent="0.25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10"/>
    </row>
    <row r="111" spans="1:23" x14ac:dyDescent="0.25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10"/>
    </row>
    <row r="112" spans="1:23" x14ac:dyDescent="0.25">
      <c r="A112" s="6" cm="1">
        <f t="array" ref="A112:A114">A105:A107</f>
        <v>70.916255670945603</v>
      </c>
      <c r="B112" s="7"/>
      <c r="C112" s="7" cm="1">
        <f t="array" ref="C112">SQRT(SUM(_xlfn.ANCHORARRAY(A112)*_xlfn.ANCHORARRAY(A112)))</f>
        <v>70.978782278184298</v>
      </c>
      <c r="D112" s="7"/>
      <c r="E112" s="7" cm="1">
        <f t="array" ref="E112:E114">_xlfn.ANCHORARRAY(A112)/C112</f>
        <v>0.99911908030496155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10"/>
    </row>
    <row r="113" spans="1:23" x14ac:dyDescent="0.25">
      <c r="A113" s="6">
        <v>-2.9786264127888042</v>
      </c>
      <c r="B113" s="7"/>
      <c r="C113" s="7"/>
      <c r="D113" s="7"/>
      <c r="E113" s="7">
        <v>-4.1965025563763449E-2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10"/>
    </row>
    <row r="114" spans="1:23" x14ac:dyDescent="0.25">
      <c r="A114" s="6">
        <v>6.8340031978797314E-7</v>
      </c>
      <c r="B114" s="7"/>
      <c r="C114" s="7"/>
      <c r="D114" s="7"/>
      <c r="E114" s="7">
        <v>9.6282339292543743E-9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10"/>
    </row>
    <row r="115" spans="1:23" x14ac:dyDescent="0.25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10"/>
    </row>
    <row r="116" spans="1:23" x14ac:dyDescent="0.25">
      <c r="A116" s="6" t="s">
        <v>3</v>
      </c>
      <c r="B116" s="7" cm="1">
        <f t="array" ref="B116">SUM(_xlfn.ANCHORARRAY(E112)*B105:B107)</f>
        <v>-4.7169085530481691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10"/>
    </row>
    <row r="117" spans="1:23" x14ac:dyDescent="0.25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10"/>
    </row>
    <row r="118" spans="1:23" x14ac:dyDescent="0.25">
      <c r="A118" s="6" t="s">
        <v>4</v>
      </c>
      <c r="B118" s="7"/>
      <c r="C118" s="7" t="s">
        <v>5</v>
      </c>
      <c r="D118" s="7"/>
      <c r="E118" s="7" t="s">
        <v>6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10"/>
    </row>
    <row r="119" spans="1:23" x14ac:dyDescent="0.25">
      <c r="A119" s="6" cm="1">
        <f t="array" ref="A119:A121">B105:B107-B116*_xlfn.ANCHORARRAY(E112)</f>
        <v>1.7341269226152871</v>
      </c>
      <c r="B119" s="7"/>
      <c r="C119" s="7" cm="1">
        <f t="array" ref="C119">SQRT(SUM(_xlfn.ANCHORARRAY(A119)*_xlfn.ANCHORARRAY(A119)))</f>
        <v>41.323147056835992</v>
      </c>
      <c r="D119" s="7"/>
      <c r="E119" s="7" cm="1">
        <f t="array" ref="E119:E121">_xlfn.ANCHORARRAY(A119)/C119</f>
        <v>4.196502556376365E-2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10"/>
    </row>
    <row r="120" spans="1:23" x14ac:dyDescent="0.25">
      <c r="A120" s="6">
        <v>41.286744682732653</v>
      </c>
      <c r="B120" s="7"/>
      <c r="C120" s="7"/>
      <c r="D120" s="7"/>
      <c r="E120" s="7">
        <v>0.99911908030496155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10"/>
    </row>
    <row r="121" spans="1:23" x14ac:dyDescent="0.25">
      <c r="A121" s="6">
        <v>-1.0163044587075884E-6</v>
      </c>
      <c r="B121" s="7"/>
      <c r="C121" s="7"/>
      <c r="D121" s="7"/>
      <c r="E121" s="7">
        <v>-2.4594072114346951E-8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10"/>
    </row>
    <row r="122" spans="1:23" x14ac:dyDescent="0.25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10"/>
    </row>
    <row r="123" spans="1:23" x14ac:dyDescent="0.25">
      <c r="A123" s="6" t="s">
        <v>8</v>
      </c>
      <c r="B123" s="7" cm="1">
        <f t="array" ref="B123">SUM(C105:C107*_xlfn.ANCHORARRAY(E112))</f>
        <v>7.2349293524556674E-7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10"/>
    </row>
    <row r="124" spans="1:23" x14ac:dyDescent="0.25">
      <c r="A124" s="6" t="s">
        <v>7</v>
      </c>
      <c r="B124" s="7" cm="1">
        <f t="array" ref="B124">SUM(C105:C107*_xlfn.ANCHORARRAY(E119))</f>
        <v>-1.0222448037292731E-6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10"/>
    </row>
    <row r="125" spans="1:23" x14ac:dyDescent="0.25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10"/>
    </row>
    <row r="126" spans="1:23" x14ac:dyDescent="0.25">
      <c r="A126" s="6" t="s">
        <v>9</v>
      </c>
      <c r="B126" s="7"/>
      <c r="C126" s="7" t="s">
        <v>10</v>
      </c>
      <c r="D126" s="7"/>
      <c r="E126" s="7" t="s">
        <v>11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10"/>
    </row>
    <row r="127" spans="1:23" x14ac:dyDescent="0.25">
      <c r="A127" s="6" cm="1">
        <f t="array" ref="A127:A129">C105:C107-B123*_xlfn.ANCHORARRAY(E112)-B124*_xlfn.ANCHORARRAY(E119)</f>
        <v>3.4431845371739607E-9</v>
      </c>
      <c r="B127" s="7"/>
      <c r="C127" s="7" cm="1">
        <f t="array" ref="C127">SQRT(SUM(_xlfn.ANCHORARRAY(A127)*_xlfn.ANCHORARRAY(A127)))</f>
        <v>0.40094554168887292</v>
      </c>
      <c r="D127" s="7"/>
      <c r="E127" s="7" cm="1">
        <f t="array" ref="E127:E129">_xlfn.ANCHORARRAY(A127)/C127</f>
        <v>8.5876613633624453E-9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10"/>
    </row>
    <row r="128" spans="1:23" x14ac:dyDescent="0.25">
      <c r="A128" s="6">
        <v>-1.0014198598120196E-8</v>
      </c>
      <c r="B128" s="7"/>
      <c r="C128" s="7"/>
      <c r="D128" s="7"/>
      <c r="E128" s="7">
        <v>-2.4976455794814767E-8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10"/>
    </row>
    <row r="129" spans="1:23" ht="15.75" thickBot="1" x14ac:dyDescent="0.3">
      <c r="A129" s="11">
        <v>-0.40094554168887281</v>
      </c>
      <c r="B129" s="12"/>
      <c r="C129" s="12"/>
      <c r="D129" s="12"/>
      <c r="E129" s="12">
        <v>-0.99999999999999978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3"/>
    </row>
    <row r="130" spans="1:23" ht="15.75" thickBot="1" x14ac:dyDescent="0.3"/>
    <row r="131" spans="1:23" x14ac:dyDescent="0.25">
      <c r="A131" s="1" cm="1">
        <f t="array" ref="A131:C133">U105:W107</f>
        <v>71.11420085895621</v>
      </c>
      <c r="B131" s="2">
        <v>-1.7341269226152933</v>
      </c>
      <c r="C131" s="3">
        <v>3.8604689067030697E-9</v>
      </c>
      <c r="D131" s="2"/>
      <c r="E131" s="4" cm="1">
        <f t="array" ref="E131:E133">_xlfn.ANCHORARRAY(E138)</f>
        <v>0.99970281597105648</v>
      </c>
      <c r="F131" s="2" cm="1">
        <f t="array" ref="F131:F133">_xlfn.ANCHORARRAY(E145)</f>
        <v>2.4377853464571313E-2</v>
      </c>
      <c r="G131" s="3" cm="1">
        <f t="array" ref="G131:G133">_xlfn.ANCHORARRAY(E153)</f>
        <v>4.8510053661936409E-11</v>
      </c>
      <c r="H131" s="2"/>
      <c r="I131" s="4">
        <f>C138</f>
        <v>71.135341146238318</v>
      </c>
      <c r="J131" s="2">
        <f>B142</f>
        <v>-2.7400937796945573</v>
      </c>
      <c r="K131" s="3">
        <f>B149</f>
        <v>4.077951828516268E-9</v>
      </c>
      <c r="L131" s="2"/>
      <c r="M131" s="4">
        <f>I131</f>
        <v>71.135341146238318</v>
      </c>
      <c r="N131" s="2">
        <f>J131</f>
        <v>-2.7400937796945573</v>
      </c>
      <c r="O131" s="3">
        <f>K131</f>
        <v>4.077951828516268E-9</v>
      </c>
      <c r="P131" s="2"/>
      <c r="Q131" s="4">
        <f>E131</f>
        <v>0.99970281597105648</v>
      </c>
      <c r="R131" s="2">
        <f>F131</f>
        <v>2.4377853464571313E-2</v>
      </c>
      <c r="S131" s="3">
        <f>G131</f>
        <v>4.8510053661936409E-11</v>
      </c>
      <c r="T131" s="2"/>
      <c r="U131" s="4">
        <f>Q131*M131+Q132*N131+Q133*O131</f>
        <v>71.180998463596794</v>
      </c>
      <c r="V131" s="2">
        <f>R131*M131+R132*N131+R133*O131</f>
        <v>-1.0051525449701364</v>
      </c>
      <c r="W131" s="5">
        <f>S131*M131+S132*N131+S133*O131</f>
        <v>2.1685565891260379E-11</v>
      </c>
    </row>
    <row r="132" spans="1:23" x14ac:dyDescent="0.25">
      <c r="A132" s="6">
        <v>-1.7341269226152884</v>
      </c>
      <c r="B132" s="7">
        <v>41.286744682732682</v>
      </c>
      <c r="C132" s="8">
        <v>-9.8609520384213311E-9</v>
      </c>
      <c r="D132" s="7"/>
      <c r="E132" s="9">
        <v>-2.4377853464571317E-2</v>
      </c>
      <c r="F132" s="7">
        <v>0.99970281597105637</v>
      </c>
      <c r="G132" s="8">
        <v>-2.3680144926123057E-10</v>
      </c>
      <c r="H132" s="7"/>
      <c r="I132" s="9">
        <v>0</v>
      </c>
      <c r="J132" s="7">
        <f>C145</f>
        <v>41.232200629597422</v>
      </c>
      <c r="K132" s="8">
        <f>B150</f>
        <v>-9.6694694528531729E-9</v>
      </c>
      <c r="L132" s="7" t="s">
        <v>12</v>
      </c>
      <c r="M132" s="9">
        <f>I132</f>
        <v>0</v>
      </c>
      <c r="N132" s="7">
        <f>J132</f>
        <v>41.232200629597422</v>
      </c>
      <c r="O132" s="8">
        <f>K132</f>
        <v>-9.6694694528531729E-9</v>
      </c>
      <c r="P132" s="7" t="s">
        <v>13</v>
      </c>
      <c r="Q132" s="9">
        <f>E132</f>
        <v>-2.4377853464571317E-2</v>
      </c>
      <c r="R132" s="7">
        <f>F132</f>
        <v>0.99970281597105637</v>
      </c>
      <c r="S132" s="8">
        <f>G132</f>
        <v>-2.3680144926123057E-10</v>
      </c>
      <c r="T132" s="7" t="str">
        <f>"="</f>
        <v>=</v>
      </c>
      <c r="U132" s="9">
        <f>M132*Q131+N132*Q132+O132*Q133</f>
        <v>-1.0051525449701311</v>
      </c>
      <c r="V132" s="7">
        <f>M132*R131+N132*R132+O132*R133</f>
        <v>41.219947078092105</v>
      </c>
      <c r="W132" s="10">
        <f>S131*M132+S132*N132+S133*O132</f>
        <v>-9.4375412465320271E-11</v>
      </c>
    </row>
    <row r="133" spans="1:23" x14ac:dyDescent="0.25">
      <c r="A133" s="6">
        <v>3.8603974682720802E-9</v>
      </c>
      <c r="B133" s="7">
        <v>-9.8608835662220423E-9</v>
      </c>
      <c r="C133" s="8">
        <v>-0.40094554168887281</v>
      </c>
      <c r="D133" s="7"/>
      <c r="E133" s="9">
        <v>5.4268348279035705E-11</v>
      </c>
      <c r="F133" s="7">
        <v>-2.3554850467274671E-10</v>
      </c>
      <c r="G133" s="8">
        <v>-1</v>
      </c>
      <c r="H133" s="7"/>
      <c r="I133" s="9">
        <v>0</v>
      </c>
      <c r="J133" s="7">
        <v>0</v>
      </c>
      <c r="K133" s="8">
        <f>C153</f>
        <v>0.40094554168887281</v>
      </c>
      <c r="L133" s="7"/>
      <c r="M133" s="9">
        <f>I133</f>
        <v>0</v>
      </c>
      <c r="N133" s="7">
        <f>J133</f>
        <v>0</v>
      </c>
      <c r="O133" s="8">
        <f>K133</f>
        <v>0.40094554168887281</v>
      </c>
      <c r="P133" s="7"/>
      <c r="Q133" s="9">
        <f>E133</f>
        <v>5.4268348279035705E-11</v>
      </c>
      <c r="R133" s="7">
        <f>F133</f>
        <v>-2.3554850467274671E-10</v>
      </c>
      <c r="S133" s="8">
        <f>G133</f>
        <v>-1</v>
      </c>
      <c r="T133" s="7"/>
      <c r="U133" s="9">
        <f>Q131*M133+Q132*N133+Q133*O133</f>
        <v>2.1758652297298378E-11</v>
      </c>
      <c r="V133" s="7">
        <f>R131*M133+R132*N133+R133*O133</f>
        <v>-9.4442122800018414E-11</v>
      </c>
      <c r="W133" s="10">
        <f>S131*M133+S132*N133+S133*O133</f>
        <v>-0.40094554168887281</v>
      </c>
    </row>
    <row r="134" spans="1:23" x14ac:dyDescent="0.25">
      <c r="A134" s="6"/>
      <c r="B134" s="7"/>
      <c r="C134" s="7"/>
      <c r="D134" s="7"/>
      <c r="E134" s="7"/>
      <c r="F134" s="7"/>
      <c r="G134" s="7"/>
      <c r="H134" s="7"/>
      <c r="I134" s="7"/>
      <c r="J134" s="7" t="s">
        <v>15</v>
      </c>
      <c r="K134" s="7"/>
      <c r="L134" s="7"/>
      <c r="M134" s="7"/>
      <c r="N134" s="7" t="s">
        <v>15</v>
      </c>
      <c r="O134" s="7"/>
      <c r="P134" s="7"/>
      <c r="Q134" s="7"/>
      <c r="R134" s="7" t="s">
        <v>14</v>
      </c>
      <c r="S134" s="7"/>
      <c r="T134" s="7"/>
      <c r="U134" s="7"/>
      <c r="V134" s="7" t="s">
        <v>17</v>
      </c>
      <c r="W134" s="10"/>
    </row>
    <row r="135" spans="1:23" x14ac:dyDescent="0.25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10"/>
    </row>
    <row r="136" spans="1:23" x14ac:dyDescent="0.25">
      <c r="A136" s="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10"/>
    </row>
    <row r="137" spans="1:23" x14ac:dyDescent="0.25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10"/>
    </row>
    <row r="138" spans="1:23" x14ac:dyDescent="0.25">
      <c r="A138" s="6" cm="1">
        <f t="array" ref="A138:A140">A131:A133</f>
        <v>71.11420085895621</v>
      </c>
      <c r="B138" s="7"/>
      <c r="C138" s="7" cm="1">
        <f t="array" ref="C138">SQRT(SUM(_xlfn.ANCHORARRAY(A138)*_xlfn.ANCHORARRAY(A138)))</f>
        <v>71.135341146238318</v>
      </c>
      <c r="D138" s="7"/>
      <c r="E138" s="7" cm="1">
        <f t="array" ref="E138:E140">_xlfn.ANCHORARRAY(A138)/C138</f>
        <v>0.99970281597105648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10"/>
    </row>
    <row r="139" spans="1:23" x14ac:dyDescent="0.25">
      <c r="A139" s="6">
        <v>-1.7341269226152884</v>
      </c>
      <c r="B139" s="7"/>
      <c r="C139" s="7"/>
      <c r="D139" s="7"/>
      <c r="E139" s="7">
        <v>-2.4377853464571317E-2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10"/>
    </row>
    <row r="140" spans="1:23" x14ac:dyDescent="0.25">
      <c r="A140" s="6">
        <v>3.8603974682720802E-9</v>
      </c>
      <c r="B140" s="7"/>
      <c r="C140" s="7"/>
      <c r="D140" s="7"/>
      <c r="E140" s="7">
        <v>5.4268348279035705E-11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10"/>
    </row>
    <row r="141" spans="1:23" x14ac:dyDescent="0.25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10"/>
    </row>
    <row r="142" spans="1:23" x14ac:dyDescent="0.25">
      <c r="A142" s="6"/>
      <c r="B142" s="7" cm="1">
        <f t="array" ref="B142">SUM(_xlfn.ANCHORARRAY(E138)*B131:B133)</f>
        <v>-2.7400937796945573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10"/>
    </row>
    <row r="143" spans="1:23" x14ac:dyDescent="0.25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10"/>
    </row>
    <row r="144" spans="1:23" x14ac:dyDescent="0.25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10"/>
    </row>
    <row r="145" spans="1:23" x14ac:dyDescent="0.25">
      <c r="A145" s="6" cm="1">
        <f t="array" ref="A145:A147">B131:B133-B142*_xlfn.ANCHORARRAY(E138)</f>
        <v>1.0051525449701311</v>
      </c>
      <c r="B145" s="7"/>
      <c r="C145" s="7" cm="1">
        <f t="array" ref="C145">SQRT(SUM(_xlfn.ANCHORARRAY(A145)*_xlfn.ANCHORARRAY(A145)))</f>
        <v>41.232200629597422</v>
      </c>
      <c r="D145" s="7"/>
      <c r="E145" s="7" cm="1">
        <f t="array" ref="E145:E147">_xlfn.ANCHORARRAY(A145)/C145</f>
        <v>2.4377853464571313E-2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10"/>
    </row>
    <row r="146" spans="1:23" x14ac:dyDescent="0.25">
      <c r="A146" s="6">
        <v>41.219947078092105</v>
      </c>
      <c r="B146" s="7"/>
      <c r="C146" s="7"/>
      <c r="D146" s="7"/>
      <c r="E146" s="7">
        <v>0.99970281597105637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10"/>
    </row>
    <row r="147" spans="1:23" x14ac:dyDescent="0.25">
      <c r="A147" s="6">
        <v>-9.712183202668359E-9</v>
      </c>
      <c r="B147" s="7"/>
      <c r="C147" s="7"/>
      <c r="D147" s="7"/>
      <c r="E147" s="7">
        <v>-2.3554850467274671E-10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10"/>
    </row>
    <row r="148" spans="1:23" x14ac:dyDescent="0.25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10"/>
    </row>
    <row r="149" spans="1:23" x14ac:dyDescent="0.25">
      <c r="A149" s="6" t="s">
        <v>8</v>
      </c>
      <c r="B149" s="7" cm="1">
        <f t="array" ref="B149">SUM(C131:C133*_xlfn.ANCHORARRAY(E138))</f>
        <v>4.077951828516268E-9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10"/>
    </row>
    <row r="150" spans="1:23" x14ac:dyDescent="0.25">
      <c r="A150" s="6" t="s">
        <v>7</v>
      </c>
      <c r="B150" s="7" cm="1">
        <f t="array" ref="B150">SUM(C131:C133*_xlfn.ANCHORARRAY(E145))</f>
        <v>-9.6694694528531729E-9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10"/>
    </row>
    <row r="151" spans="1:23" x14ac:dyDescent="0.25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10"/>
    </row>
    <row r="152" spans="1:23" x14ac:dyDescent="0.25">
      <c r="A152" s="6" t="s">
        <v>9</v>
      </c>
      <c r="B152" s="7"/>
      <c r="C152" s="7" t="s">
        <v>10</v>
      </c>
      <c r="D152" s="7"/>
      <c r="E152" s="7" t="s">
        <v>11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10"/>
    </row>
    <row r="153" spans="1:23" x14ac:dyDescent="0.25">
      <c r="A153" s="6" cm="1">
        <f t="array" ref="A153:A155">C131:C133-B149*_xlfn.ANCHORARRAY(E138)-B150*_xlfn.ANCHORARRAY(E145)</f>
        <v>1.9449889742841383E-11</v>
      </c>
      <c r="B153" s="7"/>
      <c r="C153" s="7" cm="1">
        <f t="array" ref="C153">SQRT(SUM(_xlfn.ANCHORARRAY(A153)*_xlfn.ANCHORARRAY(A153)))</f>
        <v>0.40094554168887281</v>
      </c>
      <c r="D153" s="7"/>
      <c r="E153" s="7" cm="1">
        <f t="array" ref="E153:E155">_xlfn.ANCHORARRAY(A153)/C153</f>
        <v>4.8510053661936409E-11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10"/>
    </row>
    <row r="154" spans="1:23" x14ac:dyDescent="0.25">
      <c r="A154" s="6">
        <v>-9.4944485346754224E-11</v>
      </c>
      <c r="B154" s="7"/>
      <c r="C154" s="7"/>
      <c r="D154" s="7"/>
      <c r="E154" s="7">
        <v>-2.3680144926123057E-10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10"/>
    </row>
    <row r="155" spans="1:23" ht="15.75" thickBot="1" x14ac:dyDescent="0.3">
      <c r="A155" s="11">
        <v>-0.40094554168887281</v>
      </c>
      <c r="B155" s="12"/>
      <c r="C155" s="12"/>
      <c r="D155" s="12"/>
      <c r="E155" s="12">
        <v>-1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3"/>
    </row>
    <row r="156" spans="1:23" ht="15.75" thickBot="1" x14ac:dyDescent="0.3"/>
    <row r="157" spans="1:23" x14ac:dyDescent="0.25">
      <c r="A157" s="1" cm="1">
        <f t="array" ref="A157:C159">U131:W133</f>
        <v>71.180998463596794</v>
      </c>
      <c r="B157" s="2">
        <v>-1.0051525449701364</v>
      </c>
      <c r="C157" s="3">
        <v>2.1685565891260379E-11</v>
      </c>
      <c r="D157" s="2"/>
      <c r="E157" s="4" cm="1">
        <f t="array" ref="E157:E159">_xlfn.ANCHORARRAY(E164)</f>
        <v>0.99990031246392175</v>
      </c>
      <c r="F157" s="2" cm="1">
        <f t="array" ref="F157:F159">_xlfn.ANCHORARRAY(E171)</f>
        <v>1.411967189956658E-2</v>
      </c>
      <c r="G157" s="3" cm="1">
        <f t="array" ref="G157:G159">_xlfn.ANCHORARRAY(E179)</f>
        <v>2.7342091047062711E-13</v>
      </c>
      <c r="H157" s="2"/>
      <c r="I157" s="4">
        <f>C164</f>
        <v>71.188095029388379</v>
      </c>
      <c r="J157" s="2">
        <f>B168</f>
        <v>-1.5870644722497045</v>
      </c>
      <c r="K157" s="3">
        <f>B175</f>
        <v>2.2893404902962979E-11</v>
      </c>
      <c r="L157" s="2"/>
      <c r="M157" s="4">
        <f>I157</f>
        <v>71.188095029388379</v>
      </c>
      <c r="N157" s="2">
        <f>J157</f>
        <v>-1.5870644722497045</v>
      </c>
      <c r="O157" s="3">
        <f>K157</f>
        <v>2.2893404902962979E-11</v>
      </c>
      <c r="P157" s="2"/>
      <c r="Q157" s="4">
        <f>E157</f>
        <v>0.99990031246392175</v>
      </c>
      <c r="R157" s="2">
        <f>F157</f>
        <v>1.411967189956658E-2</v>
      </c>
      <c r="S157" s="3">
        <f>G157</f>
        <v>2.7342091047062711E-13</v>
      </c>
      <c r="T157" s="2"/>
      <c r="U157" s="4">
        <f>Q157*M157+Q158*N157+Q159*O157</f>
        <v>71.203407293228423</v>
      </c>
      <c r="V157" s="2">
        <f>R157*M157+R158*N157+R159*O157</f>
        <v>-0.58175371673273824</v>
      </c>
      <c r="W157" s="5">
        <f>S157*M157+S158*N157+S159*O157</f>
        <v>1.9657011533518286E-13</v>
      </c>
    </row>
    <row r="158" spans="1:23" x14ac:dyDescent="0.25">
      <c r="A158" s="6">
        <v>-1.0051525449701311</v>
      </c>
      <c r="B158" s="7">
        <v>41.219947078092105</v>
      </c>
      <c r="C158" s="8">
        <v>-9.4375412465320271E-11</v>
      </c>
      <c r="D158" s="7"/>
      <c r="E158" s="9">
        <v>-1.411967189956659E-2</v>
      </c>
      <c r="F158" s="7">
        <v>0.99990031246392175</v>
      </c>
      <c r="G158" s="8">
        <v>-2.284507859692555E-12</v>
      </c>
      <c r="H158" s="7"/>
      <c r="I158" s="9">
        <v>0</v>
      </c>
      <c r="J158" s="7">
        <f>C171</f>
        <v>41.201645538986632</v>
      </c>
      <c r="K158" s="8">
        <f>B176</f>
        <v>-9.3145487302255552E-11</v>
      </c>
      <c r="L158" s="7" t="s">
        <v>12</v>
      </c>
      <c r="M158" s="9">
        <f>I158</f>
        <v>0</v>
      </c>
      <c r="N158" s="7">
        <f>J158</f>
        <v>41.201645538986632</v>
      </c>
      <c r="O158" s="8">
        <f>K158</f>
        <v>-9.3145487302255552E-11</v>
      </c>
      <c r="P158" s="7" t="s">
        <v>13</v>
      </c>
      <c r="Q158" s="9">
        <f>E158</f>
        <v>-1.411967189956659E-2</v>
      </c>
      <c r="R158" s="7">
        <f>F158</f>
        <v>0.99990031246392175</v>
      </c>
      <c r="S158" s="8">
        <f>G158</f>
        <v>-2.284507859692555E-12</v>
      </c>
      <c r="T158" s="7" t="str">
        <f>"="</f>
        <v>=</v>
      </c>
      <c r="U158" s="9">
        <f>M158*Q157+N158*Q158+O158*Q159</f>
        <v>-0.58175371673273268</v>
      </c>
      <c r="V158" s="7">
        <f>M158*R157+N158*R158+O158*R159</f>
        <v>41.197538248460482</v>
      </c>
      <c r="W158" s="10">
        <f>S157*M158+S158*N158+S159*O158</f>
        <v>-9.799957638261093E-13</v>
      </c>
    </row>
    <row r="159" spans="1:23" x14ac:dyDescent="0.25">
      <c r="A159" s="6">
        <v>2.1758652297298378E-11</v>
      </c>
      <c r="B159" s="7">
        <v>-9.4442122800018414E-11</v>
      </c>
      <c r="C159" s="8">
        <v>-0.40094554168887281</v>
      </c>
      <c r="D159" s="7"/>
      <c r="E159" s="9">
        <v>3.0565015524457868E-13</v>
      </c>
      <c r="F159" s="7">
        <v>-2.2804195091865025E-12</v>
      </c>
      <c r="G159" s="8">
        <v>-1</v>
      </c>
      <c r="H159" s="7"/>
      <c r="I159" s="9">
        <v>0</v>
      </c>
      <c r="J159" s="7">
        <v>0</v>
      </c>
      <c r="K159" s="8">
        <f>C179</f>
        <v>0.40094554168887281</v>
      </c>
      <c r="L159" s="7"/>
      <c r="M159" s="9">
        <f>I159</f>
        <v>0</v>
      </c>
      <c r="N159" s="7">
        <f>J159</f>
        <v>0</v>
      </c>
      <c r="O159" s="8">
        <f>K159</f>
        <v>0.40094554168887281</v>
      </c>
      <c r="P159" s="7"/>
      <c r="Q159" s="9">
        <f>E159</f>
        <v>3.0565015524457868E-13</v>
      </c>
      <c r="R159" s="7">
        <f>F159</f>
        <v>-2.2804195091865025E-12</v>
      </c>
      <c r="S159" s="8">
        <f>G159</f>
        <v>-1</v>
      </c>
      <c r="T159" s="7"/>
      <c r="U159" s="9">
        <f>Q157*M159+Q158*N159+Q159*O159</f>
        <v>1.2254906706182566E-13</v>
      </c>
      <c r="V159" s="7">
        <f>R157*M159+R158*N159+R159*O159</f>
        <v>-9.1432403538865561E-13</v>
      </c>
      <c r="W159" s="10">
        <f>S157*M159+S158*N159+S159*O159</f>
        <v>-0.40094554168887281</v>
      </c>
    </row>
    <row r="160" spans="1:23" x14ac:dyDescent="0.25">
      <c r="A160" s="6"/>
      <c r="B160" s="7"/>
      <c r="C160" s="7"/>
      <c r="D160" s="7"/>
      <c r="E160" s="7"/>
      <c r="F160" s="7"/>
      <c r="G160" s="7"/>
      <c r="H160" s="7"/>
      <c r="I160" s="7"/>
      <c r="J160" s="7" t="s">
        <v>15</v>
      </c>
      <c r="K160" s="7"/>
      <c r="L160" s="7"/>
      <c r="M160" s="7"/>
      <c r="N160" s="7" t="s">
        <v>15</v>
      </c>
      <c r="O160" s="7"/>
      <c r="P160" s="7"/>
      <c r="Q160" s="7"/>
      <c r="R160" s="7" t="s">
        <v>14</v>
      </c>
      <c r="S160" s="7"/>
      <c r="T160" s="7"/>
      <c r="U160" s="7"/>
      <c r="V160" s="7" t="s">
        <v>17</v>
      </c>
      <c r="W160" s="10"/>
    </row>
    <row r="161" spans="1:23" x14ac:dyDescent="0.25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10"/>
    </row>
    <row r="162" spans="1:23" x14ac:dyDescent="0.25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10"/>
    </row>
    <row r="163" spans="1:23" x14ac:dyDescent="0.25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10"/>
    </row>
    <row r="164" spans="1:23" x14ac:dyDescent="0.25">
      <c r="A164" s="6" cm="1">
        <f t="array" ref="A164:A166">A157:A159</f>
        <v>71.180998463596794</v>
      </c>
      <c r="B164" s="7"/>
      <c r="C164" s="7" cm="1">
        <f t="array" ref="C164">SQRT(SUM(_xlfn.ANCHORARRAY(A164)*_xlfn.ANCHORARRAY(A164)))</f>
        <v>71.188095029388379</v>
      </c>
      <c r="D164" s="7"/>
      <c r="E164" s="7" cm="1">
        <f t="array" ref="E164:E166">_xlfn.ANCHORARRAY(A164)/C164</f>
        <v>0.99990031246392175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10"/>
    </row>
    <row r="165" spans="1:23" x14ac:dyDescent="0.25">
      <c r="A165" s="6">
        <v>-1.0051525449701311</v>
      </c>
      <c r="B165" s="7"/>
      <c r="C165" s="7"/>
      <c r="D165" s="7"/>
      <c r="E165" s="7">
        <v>-1.411967189956659E-2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10"/>
    </row>
    <row r="166" spans="1:23" x14ac:dyDescent="0.25">
      <c r="A166" s="6">
        <v>2.1758652297298378E-11</v>
      </c>
      <c r="B166" s="7"/>
      <c r="C166" s="7"/>
      <c r="D166" s="7"/>
      <c r="E166" s="7">
        <v>3.0565015524457868E-13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10"/>
    </row>
    <row r="167" spans="1:23" x14ac:dyDescent="0.25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10"/>
    </row>
    <row r="168" spans="1:23" x14ac:dyDescent="0.25">
      <c r="A168" s="6"/>
      <c r="B168" s="7" cm="1">
        <f t="array" ref="B168">SUM(_xlfn.ANCHORARRAY(E164)*B157:B159)</f>
        <v>-1.5870644722497045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10"/>
    </row>
    <row r="169" spans="1:23" x14ac:dyDescent="0.25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10"/>
    </row>
    <row r="170" spans="1:23" x14ac:dyDescent="0.25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10"/>
    </row>
    <row r="171" spans="1:23" x14ac:dyDescent="0.25">
      <c r="A171" s="6" cm="1">
        <f t="array" ref="A171:A173">B157:B159-B168*_xlfn.ANCHORARRAY(E164)</f>
        <v>0.58175371673273224</v>
      </c>
      <c r="B171" s="7"/>
      <c r="C171" s="7" cm="1">
        <f t="array" ref="C171">SQRT(SUM(_xlfn.ANCHORARRAY(A171)*_xlfn.ANCHORARRAY(A171)))</f>
        <v>41.201645538986632</v>
      </c>
      <c r="D171" s="7"/>
      <c r="E171" s="7" cm="1">
        <f t="array" ref="E171:E173">_xlfn.ANCHORARRAY(A171)/C171</f>
        <v>1.411967189956658E-2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10"/>
    </row>
    <row r="172" spans="1:23" x14ac:dyDescent="0.25">
      <c r="A172" s="6">
        <v>41.197538248460482</v>
      </c>
      <c r="B172" s="7"/>
      <c r="C172" s="7"/>
      <c r="D172" s="7"/>
      <c r="E172" s="7">
        <v>0.99990031246392175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10"/>
    </row>
    <row r="173" spans="1:23" x14ac:dyDescent="0.25">
      <c r="A173" s="6">
        <v>-9.3957036297692143E-11</v>
      </c>
      <c r="B173" s="7"/>
      <c r="C173" s="7"/>
      <c r="D173" s="7"/>
      <c r="E173" s="7">
        <v>-2.2804195091865025E-12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10"/>
    </row>
    <row r="174" spans="1:23" x14ac:dyDescent="0.25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10"/>
    </row>
    <row r="175" spans="1:23" x14ac:dyDescent="0.25">
      <c r="A175" s="6" t="s">
        <v>8</v>
      </c>
      <c r="B175" s="7" cm="1">
        <f t="array" ref="B175">SUM(C157:C159*_xlfn.ANCHORARRAY(E164))</f>
        <v>2.2893404902962979E-11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10"/>
    </row>
    <row r="176" spans="1:23" x14ac:dyDescent="0.25">
      <c r="A176" s="6" t="s">
        <v>7</v>
      </c>
      <c r="B176" s="7" cm="1">
        <f t="array" ref="B176">SUM(C157:C159*_xlfn.ANCHORARRAY(E171))</f>
        <v>-9.3145487302255552E-11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10"/>
    </row>
    <row r="177" spans="1:23" x14ac:dyDescent="0.25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10"/>
    </row>
    <row r="178" spans="1:23" x14ac:dyDescent="0.25">
      <c r="A178" s="6" t="s">
        <v>9</v>
      </c>
      <c r="B178" s="7"/>
      <c r="C178" s="7" t="s">
        <v>10</v>
      </c>
      <c r="D178" s="7"/>
      <c r="E178" s="7" t="s">
        <v>11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10"/>
    </row>
    <row r="179" spans="1:23" x14ac:dyDescent="0.25">
      <c r="A179" s="6" cm="1">
        <f t="array" ref="A179:A181">C157:C159-B175*_xlfn.ANCHORARRAY(E164)-B176*_xlfn.ANCHORARRAY(E171)</f>
        <v>1.0962689505771038E-13</v>
      </c>
      <c r="B179" s="7"/>
      <c r="C179" s="7" cm="1">
        <f t="array" ref="C179">SQRT(SUM(_xlfn.ANCHORARRAY(A179)*_xlfn.ANCHORARRAY(A179)))</f>
        <v>0.40094554168887281</v>
      </c>
      <c r="D179" s="7"/>
      <c r="E179" s="7" cm="1">
        <f t="array" ref="E179:E181">_xlfn.ANCHORARRAY(A179)/C179</f>
        <v>2.7342091047062711E-13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10"/>
    </row>
    <row r="180" spans="1:23" x14ac:dyDescent="0.25">
      <c r="A180" s="6">
        <v>-9.1596324129691887E-13</v>
      </c>
      <c r="B180" s="7"/>
      <c r="C180" s="7"/>
      <c r="D180" s="7"/>
      <c r="E180" s="7">
        <v>-2.284507859692555E-12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10"/>
    </row>
    <row r="181" spans="1:23" ht="15.75" thickBot="1" x14ac:dyDescent="0.3">
      <c r="A181" s="11">
        <v>-0.40094554168887281</v>
      </c>
      <c r="B181" s="12"/>
      <c r="C181" s="12"/>
      <c r="D181" s="12"/>
      <c r="E181" s="12">
        <v>-1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91E6-06DD-4EAE-BE8F-6AC37AC27EA2}">
  <dimension ref="A1:H45"/>
  <sheetViews>
    <sheetView topLeftCell="A19" workbookViewId="0">
      <selection activeCell="H45" sqref="H45"/>
    </sheetView>
  </sheetViews>
  <sheetFormatPr defaultRowHeight="15" x14ac:dyDescent="0.25"/>
  <cols>
    <col min="1" max="1" width="13.28515625" style="15" bestFit="1" customWidth="1"/>
    <col min="2" max="2" width="13.5703125" style="15" bestFit="1" customWidth="1"/>
    <col min="3" max="3" width="13.28515625" style="15" bestFit="1" customWidth="1"/>
    <col min="4" max="4" width="13.42578125" style="15" bestFit="1" customWidth="1"/>
    <col min="5" max="5" width="13.28515625" style="15" bestFit="1" customWidth="1"/>
    <col min="6" max="15" width="13.42578125" style="15" bestFit="1" customWidth="1"/>
    <col min="16" max="16384" width="9.140625" style="15"/>
  </cols>
  <sheetData>
    <row r="1" spans="1:8" x14ac:dyDescent="0.25">
      <c r="A1" s="15">
        <f>-2752/3953</f>
        <v>-0.69618011636731592</v>
      </c>
      <c r="B1" s="15">
        <f>366/3953</f>
        <v>9.2587907918036935E-2</v>
      </c>
      <c r="C1" s="15">
        <f>251/3953</f>
        <v>6.3496078927396921E-2</v>
      </c>
    </row>
    <row r="2" spans="1:8" x14ac:dyDescent="0.25">
      <c r="A2" s="15">
        <f>366/3953</f>
        <v>9.2587907918036935E-2</v>
      </c>
      <c r="B2" s="15">
        <f>49/3953</f>
        <v>1.2395648874272705E-2</v>
      </c>
      <c r="C2" s="15">
        <f>-42/3953</f>
        <v>-1.0624841892233746E-2</v>
      </c>
    </row>
    <row r="3" spans="1:8" x14ac:dyDescent="0.25">
      <c r="A3" s="15">
        <f>251/3953</f>
        <v>6.3496078927396921E-2</v>
      </c>
      <c r="B3" s="15">
        <f>-42/3953</f>
        <v>-1.0624841892233746E-2</v>
      </c>
      <c r="C3" s="15">
        <f>36/3953</f>
        <v>9.1070073362003543E-3</v>
      </c>
    </row>
    <row r="5" spans="1:8" x14ac:dyDescent="0.25">
      <c r="A5" s="15">
        <v>1</v>
      </c>
      <c r="B5" s="15">
        <f>A5*$A1+A6*$B1+A7*$C1</f>
        <v>-0.54009612952188202</v>
      </c>
      <c r="C5" s="15">
        <f>B5*$A1+B6*$B1+B7*$C1</f>
        <v>0.38867603780289889</v>
      </c>
      <c r="D5" s="15">
        <f>C5*$A1+C6*$B1+C7*$C1</f>
        <v>-0.27737654210427937</v>
      </c>
      <c r="E5" s="15">
        <f>D5*$A1+D6*$B1+D7*$C1</f>
        <v>0.19799368126540623</v>
      </c>
      <c r="F5" s="15">
        <f>E5*$A1+E6*$B1+E7*$C1</f>
        <v>-0.14132857755173484</v>
      </c>
      <c r="G5" s="15">
        <f>F5*$A1+F6*$B1+F7*$C1</f>
        <v>0.10088085103225659</v>
      </c>
      <c r="H5" s="15">
        <f>G5*$A1+G6*$B1+G7*$C1</f>
        <v>-7.2009116705649592E-2</v>
      </c>
    </row>
    <row r="6" spans="1:8" x14ac:dyDescent="0.25">
      <c r="A6" s="15">
        <v>1</v>
      </c>
      <c r="B6" s="15">
        <f>A5*$A2+A6*$B2+A7*$C2</f>
        <v>9.4358714900075899E-2</v>
      </c>
      <c r="C6" s="15">
        <f>B5*$A2+B6*$B2+B7*$C2</f>
        <v>-4.9495242256135184E-2</v>
      </c>
      <c r="D6" s="15">
        <f>C5*$A2+C6*$B2+C7*$C2</f>
        <v>3.5742198588722691E-2</v>
      </c>
      <c r="E6" s="15">
        <f>D5*$A2+D6*$B2+D7*$C2</f>
        <v>-2.5503107451794134E-2</v>
      </c>
      <c r="F6" s="15">
        <f>E5*$A2+E6*$B2+E7*$C2</f>
        <v>1.8204447878158829E-2</v>
      </c>
      <c r="G6" s="15">
        <f>F5*$A2+F6*$B2+F7*$C2</f>
        <v>-1.2994394991622535E-2</v>
      </c>
      <c r="H6" s="15">
        <f>G5*$A2+G6*$B2+G7*$C2</f>
        <v>9.2754463366628917E-3</v>
      </c>
    </row>
    <row r="7" spans="1:8" x14ac:dyDescent="0.25">
      <c r="A7" s="15">
        <v>1</v>
      </c>
      <c r="B7" s="15">
        <f>A5*$A3+A6*$B3+A7*$C3</f>
        <v>6.1978244371363525E-2</v>
      </c>
      <c r="C7" s="15">
        <f>B5*$A3+B6*$B3+B7*$C3</f>
        <v>-3.4732096569295857E-2</v>
      </c>
      <c r="D7" s="15">
        <f>C5*$A3+C6*$B3+C7*$C3</f>
        <v>2.488897803865182E-2</v>
      </c>
      <c r="E7" s="15">
        <f>D5*$A3+D6*$B3+D7*$C3</f>
        <v>-1.7765413913359222E-2</v>
      </c>
      <c r="F7" s="15">
        <f>E5*$A3+E6*$B3+E7*$C3</f>
        <v>1.2680999142350467E-2</v>
      </c>
      <c r="G7" s="15">
        <f>F5*$A3+F6*$B3+F7*$C3</f>
        <v>-9.0517439431428044E-3</v>
      </c>
      <c r="H7" s="15">
        <f>G5*$A3+G6*$B3+G7*$C3</f>
        <v>6.4611675731827507E-3</v>
      </c>
    </row>
    <row r="8" spans="1:8" x14ac:dyDescent="0.25">
      <c r="A8" s="15">
        <v>0</v>
      </c>
      <c r="B8" s="15">
        <f>A8+1</f>
        <v>1</v>
      </c>
      <c r="C8" s="15">
        <v>2</v>
      </c>
      <c r="D8" s="15">
        <v>3</v>
      </c>
      <c r="E8" s="15">
        <v>4</v>
      </c>
      <c r="F8" s="15">
        <v>5</v>
      </c>
      <c r="G8" s="15">
        <v>6</v>
      </c>
    </row>
    <row r="10" spans="1:8" x14ac:dyDescent="0.25">
      <c r="F10" s="15">
        <f>F5*F5</f>
        <v>1.9973766832796728E-2</v>
      </c>
      <c r="G10" s="15">
        <f>G5*F5</f>
        <v>-1.4257347178597285E-2</v>
      </c>
    </row>
    <row r="11" spans="1:8" x14ac:dyDescent="0.25">
      <c r="F11" s="15">
        <f>F6*F6</f>
        <v>3.3140192254860147E-4</v>
      </c>
      <c r="G11" s="15">
        <f>G6*F6</f>
        <v>-2.3655578633320057E-4</v>
      </c>
    </row>
    <row r="12" spans="1:8" x14ac:dyDescent="0.25">
      <c r="F12" s="15">
        <f>F7*F7</f>
        <v>1.6080773924829326E-4</v>
      </c>
      <c r="G12" s="15">
        <f>G7*F7</f>
        <v>-1.1478515717976994E-4</v>
      </c>
    </row>
    <row r="13" spans="1:8" x14ac:dyDescent="0.25">
      <c r="F13" s="15">
        <f>SUM(F10:F12)</f>
        <v>2.0465976494593623E-2</v>
      </c>
      <c r="G13" s="15">
        <f>SUM(G10:G12)</f>
        <v>-1.4608688122110256E-2</v>
      </c>
      <c r="H13" s="15">
        <f>G13/F13</f>
        <v>-0.71380362065642688</v>
      </c>
    </row>
    <row r="15" spans="1:8" x14ac:dyDescent="0.25">
      <c r="A15" s="15">
        <f>-1/28</f>
        <v>-3.5714285714285712E-2</v>
      </c>
      <c r="B15" s="15">
        <f>-5/42</f>
        <v>-0.11904761904761904</v>
      </c>
      <c r="C15" s="15">
        <f>(2-1)/28</f>
        <v>3.5714285714285712E-2</v>
      </c>
      <c r="H15" s="15">
        <f>(1/H13)+1</f>
        <v>-0.40094554168887742</v>
      </c>
    </row>
    <row r="16" spans="1:8" x14ac:dyDescent="0.25">
      <c r="A16" s="15">
        <v>-0.11904761904761904</v>
      </c>
      <c r="B16" s="15">
        <v>-1.1468253968253967</v>
      </c>
      <c r="C16" s="15">
        <v>0.2857142857142857</v>
      </c>
    </row>
    <row r="17" spans="1:8" x14ac:dyDescent="0.25">
      <c r="A17" s="15">
        <v>3.5714285714285712E-2</v>
      </c>
      <c r="B17" s="15">
        <v>0.2857142857142857</v>
      </c>
      <c r="C17" s="15">
        <v>-3.5714285714285712E-2</v>
      </c>
    </row>
    <row r="19" spans="1:8" x14ac:dyDescent="0.25">
      <c r="A19" s="15">
        <v>1</v>
      </c>
      <c r="B19" s="15">
        <f>A19*$A15+A20*$B15+A21*$C15</f>
        <v>-0.11904761904761905</v>
      </c>
      <c r="C19" s="15">
        <f>B19*$A15+B20*$B15+B21*$C15</f>
        <v>0.13114134542705971</v>
      </c>
      <c r="D19" s="15">
        <f>C19*$A15+C20*$B15+C21*$C15</f>
        <v>-0.16042484013005556</v>
      </c>
      <c r="E19" s="15">
        <f>D19*$A15+D20*$B15+D21*$C15</f>
        <v>0.1971415028736502</v>
      </c>
      <c r="F19" s="15">
        <f>E19*$A15+E20*$B15+E21*$C15</f>
        <v>-0.2422664404218613</v>
      </c>
      <c r="G19" s="15">
        <f>F19*$A15+F20*$B15+F21*$C15</f>
        <v>0.29772097722038365</v>
      </c>
      <c r="H19" s="15">
        <f>G19*$A15+G20*$B15+G21*$C15</f>
        <v>-0.36586899671593603</v>
      </c>
    </row>
    <row r="20" spans="1:8" x14ac:dyDescent="0.25">
      <c r="A20" s="15">
        <v>1</v>
      </c>
      <c r="B20" s="15">
        <f>A19*$A16+A20*$B16+A21*$C16</f>
        <v>-0.98015873015873012</v>
      </c>
      <c r="C20" s="15">
        <f>B19*$A16+B20*$B16+B21*$C16</f>
        <v>1.2198759133282944</v>
      </c>
      <c r="D20" s="15">
        <f>C19*$A16+C20*$B16+C21*$C16</f>
        <v>-1.4987399243942139</v>
      </c>
      <c r="E20" s="15">
        <f>D19*$A16+D20*$B16+D21*$C16</f>
        <v>1.8418162015997341</v>
      </c>
      <c r="F20" s="15">
        <f>E19*$A16+E20*$B16+E21*$C16</f>
        <v>-2.2634055343181192</v>
      </c>
      <c r="G20" s="15">
        <f>F19*$A16+F20*$B16+F21*$C16</f>
        <v>2.7814967093657263</v>
      </c>
      <c r="H20" s="15">
        <f>G19*$A16+G20*$B16+G21*$C16</f>
        <v>-3.418178393234093</v>
      </c>
    </row>
    <row r="21" spans="1:8" x14ac:dyDescent="0.25">
      <c r="A21" s="15">
        <v>1</v>
      </c>
      <c r="B21" s="15">
        <f>A19*$A17+A20*$B17+A21*$C17</f>
        <v>0.2857142857142857</v>
      </c>
      <c r="C21" s="15">
        <f>B19*$A17+B20*$B17+B21*$C17</f>
        <v>-0.29450113378684806</v>
      </c>
      <c r="D21" s="15">
        <f>C19*$A17+C20*$B17+C21*$C17</f>
        <v>0.36373749235143793</v>
      </c>
      <c r="E21" s="15">
        <f>D19*$A17+D20*$B17+D21*$C17</f>
        <v>-0.44693149027268586</v>
      </c>
      <c r="F21" s="15">
        <f>E19*$A17+E20*$B17+E21*$C17</f>
        <v>0.54923580735515032</v>
      </c>
      <c r="G21" s="15">
        <f>F19*$A17+F20*$B17+F21*$C17</f>
        <v>-0.67495523294007009</v>
      </c>
      <c r="H21" s="15">
        <f>G19*$A17+G20*$B17+G21*$C17</f>
        <v>0.82945178161022359</v>
      </c>
    </row>
    <row r="22" spans="1:8" x14ac:dyDescent="0.25">
      <c r="A22" s="15">
        <v>0</v>
      </c>
      <c r="B22" s="15">
        <f>A22+1</f>
        <v>1</v>
      </c>
      <c r="C22" s="15">
        <v>2</v>
      </c>
      <c r="D22" s="15">
        <v>3</v>
      </c>
      <c r="E22" s="15">
        <v>4</v>
      </c>
      <c r="F22" s="15">
        <v>5</v>
      </c>
      <c r="G22" s="15">
        <v>6</v>
      </c>
    </row>
    <row r="24" spans="1:8" x14ac:dyDescent="0.25">
      <c r="F24" s="15">
        <f>F19*F19</f>
        <v>5.8693028154679271E-2</v>
      </c>
      <c r="G24" s="15">
        <f>G19*F19</f>
        <v>-7.2127801390100402E-2</v>
      </c>
    </row>
    <row r="25" spans="1:8" x14ac:dyDescent="0.25">
      <c r="F25" s="15">
        <f>F20*F20</f>
        <v>5.1230046127818909</v>
      </c>
      <c r="G25" s="15">
        <f>G20*F20</f>
        <v>-6.2956550456660221</v>
      </c>
    </row>
    <row r="26" spans="1:8" x14ac:dyDescent="0.25">
      <c r="F26" s="15">
        <f>F21*F21</f>
        <v>0.30165997208106377</v>
      </c>
      <c r="G26" s="15">
        <f>G21*F21</f>
        <v>-0.37070958229242296</v>
      </c>
    </row>
    <row r="27" spans="1:8" x14ac:dyDescent="0.25">
      <c r="F27" s="15">
        <f>SUM(F24:F26)</f>
        <v>5.4833576130176338</v>
      </c>
      <c r="G27" s="15">
        <f>SUM(G24:G26)</f>
        <v>-6.7384924293485451</v>
      </c>
      <c r="H27" s="15">
        <f>G27/F27</f>
        <v>-1.2288989529610814</v>
      </c>
    </row>
    <row r="29" spans="1:8" x14ac:dyDescent="0.25">
      <c r="H29" s="15">
        <f>(1/H27)+42</f>
        <v>41.18626344534637</v>
      </c>
    </row>
    <row r="31" spans="1:8" x14ac:dyDescent="0.25">
      <c r="A31" s="15">
        <f>-4/475</f>
        <v>-8.4210526315789472E-3</v>
      </c>
      <c r="B31" s="15">
        <f>14/1425</f>
        <v>9.8245614035087723E-3</v>
      </c>
      <c r="C31" s="15">
        <v>5.2631578947368418E-2</v>
      </c>
    </row>
    <row r="32" spans="1:8" x14ac:dyDescent="0.25">
      <c r="A32" s="15">
        <f>14/1425</f>
        <v>9.8245614035087723E-3</v>
      </c>
      <c r="B32" s="15">
        <v>-1.1461988304093567E-2</v>
      </c>
      <c r="C32" s="15">
        <v>0.10526315789473684</v>
      </c>
    </row>
    <row r="33" spans="1:8" x14ac:dyDescent="0.25">
      <c r="A33" s="15">
        <v>5.2631578947368418E-2</v>
      </c>
      <c r="B33" s="15">
        <v>0.10526315789473684</v>
      </c>
      <c r="C33" s="15">
        <v>0.42105263157894735</v>
      </c>
    </row>
    <row r="35" spans="1:8" x14ac:dyDescent="0.25">
      <c r="A35" s="15">
        <v>1</v>
      </c>
      <c r="B35" s="15">
        <f>A35*$A31+A36*$B31+A37*$C31</f>
        <v>5.4035087719298242E-2</v>
      </c>
      <c r="C35" s="15">
        <f>B35*$A31+B36*$B31+B37*$C31</f>
        <v>3.1033959166923156E-2</v>
      </c>
      <c r="D35" s="15">
        <f>C35*$A31+C36*$B31+C37*$C31</f>
        <v>1.3884578550785155E-2</v>
      </c>
      <c r="E35" s="15">
        <f>D35*$A31+D36*$B31+D37*$C31</f>
        <v>6.2723540171166171E-3</v>
      </c>
      <c r="F35" s="15">
        <f>E35*$A31+E36*$B31+E37*$C31</f>
        <v>2.8320832890869028E-3</v>
      </c>
      <c r="G35" s="15">
        <f>F35*$A31+F36*$B31+F37*$C31</f>
        <v>1.2787791932072285E-3</v>
      </c>
      <c r="H35" s="15">
        <f>G35*$A31+G36*$B31+G37*$C31</f>
        <v>5.7740972697795773E-4</v>
      </c>
    </row>
    <row r="36" spans="1:8" x14ac:dyDescent="0.25">
      <c r="A36" s="15">
        <v>1</v>
      </c>
      <c r="B36" s="15">
        <f>A35*$A32+A36*$B32+A37*$C32</f>
        <v>0.10362573099415204</v>
      </c>
      <c r="C36" s="15">
        <f>B35*$A32+B36*$B32+B37*$C32</f>
        <v>6.0284942375431756E-2</v>
      </c>
      <c r="D36" s="15">
        <f>C35*$A32+C36*$B32+C37*$C32</f>
        <v>2.6721197805452606E-2</v>
      </c>
      <c r="E36" s="15">
        <f>D35*$A32+D36*$B32+D37*$C32</f>
        <v>1.2083637308306758E-2</v>
      </c>
      <c r="F36" s="15">
        <f>E35*$A32+E36*$B32+E37*$C32</f>
        <v>5.4554939690384828E-3</v>
      </c>
      <c r="G36" s="15">
        <f>F35*$A32+F36*$B32+F37*$C32</f>
        <v>2.4633541284200212E-3</v>
      </c>
      <c r="H36" s="15">
        <f>G35*$A32+G36*$B32+G37*$C32</f>
        <v>1.112282548446152E-3</v>
      </c>
    </row>
    <row r="37" spans="1:8" x14ac:dyDescent="0.25">
      <c r="A37" s="15">
        <v>1</v>
      </c>
      <c r="B37" s="15">
        <f>A35*$A33+A36*$B33+A37*$C33</f>
        <v>0.57894736842105265</v>
      </c>
      <c r="C37" s="15">
        <f>B35*$A33+B36*$B33+B37*$C33</f>
        <v>0.25751923668821175</v>
      </c>
      <c r="D37" s="15">
        <f>C35*$A33+C36*$B33+C37*$C33</f>
        <v>0.11640830196965687</v>
      </c>
      <c r="E37" s="15">
        <f>D35*$A33+D36*$B33+D37*$C33</f>
        <v>5.2557546837839225E-2</v>
      </c>
      <c r="F37" s="15">
        <f>E35*$A33+E36*$B33+E37*$C33</f>
        <v>2.373157912297073E-2</v>
      </c>
      <c r="G37" s="15">
        <f>F35*$A33+F36*$B33+F37*$C33</f>
        <v>1.0715563379522616E-2</v>
      </c>
      <c r="H37" s="15">
        <f>G35*$A33+G36*$B33+G37*$C33</f>
        <v>4.8384207624330633E-3</v>
      </c>
    </row>
    <row r="38" spans="1:8" x14ac:dyDescent="0.25">
      <c r="A38" s="15">
        <v>0</v>
      </c>
      <c r="B38" s="15">
        <f>A38+1</f>
        <v>1</v>
      </c>
      <c r="C38" s="15">
        <v>2</v>
      </c>
      <c r="D38" s="15">
        <v>3</v>
      </c>
      <c r="E38" s="15">
        <v>4</v>
      </c>
      <c r="F38" s="15">
        <v>5</v>
      </c>
      <c r="G38" s="15">
        <v>6</v>
      </c>
    </row>
    <row r="40" spans="1:8" x14ac:dyDescent="0.25">
      <c r="F40" s="15">
        <f>F35*F35</f>
        <v>8.020695756325289E-6</v>
      </c>
      <c r="G40" s="15">
        <f>G35*F35</f>
        <v>3.6216091835142237E-6</v>
      </c>
    </row>
    <row r="41" spans="1:8" x14ac:dyDescent="0.25">
      <c r="F41" s="15">
        <f>F36*F36</f>
        <v>2.9762414446215259E-5</v>
      </c>
      <c r="G41" s="15">
        <f>G36*F36</f>
        <v>1.3438813591201473E-5</v>
      </c>
    </row>
    <row r="42" spans="1:8" x14ac:dyDescent="0.25">
      <c r="F42" s="15">
        <f>F37*F37</f>
        <v>5.6318784766982023E-4</v>
      </c>
      <c r="G42" s="15">
        <f>G37*F37</f>
        <v>2.542972401883486E-4</v>
      </c>
    </row>
    <row r="43" spans="1:8" x14ac:dyDescent="0.25">
      <c r="F43" s="15">
        <f>SUM(F40:F42)</f>
        <v>6.0097095787236079E-4</v>
      </c>
      <c r="G43" s="15">
        <f>SUM(G40:G42)</f>
        <v>2.7135766296306429E-4</v>
      </c>
      <c r="H43" s="15">
        <f>G43/F43</f>
        <v>0.45153207390214267</v>
      </c>
    </row>
    <row r="45" spans="1:8" x14ac:dyDescent="0.25">
      <c r="H45" s="15">
        <f>(1/H43)+69</f>
        <v>71.214682096352519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 Iteration</vt:lpstr>
      <vt:lpstr>Use The Inverse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Baratang</dc:creator>
  <cp:lastModifiedBy>Enrico Baratang</cp:lastModifiedBy>
  <dcterms:created xsi:type="dcterms:W3CDTF">2026-09-28T08:25:50Z</dcterms:created>
  <dcterms:modified xsi:type="dcterms:W3CDTF">2026-09-28T11:31:57Z</dcterms:modified>
</cp:coreProperties>
</file>